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CC" sheetId="1" r:id="rId5"/>
    <sheet state="visible" name="Fundamental Valuation" sheetId="2" r:id="rId6"/>
    <sheet state="visible" name="Sensitivity Analysis - Sales%" sheetId="3" r:id="rId7"/>
    <sheet state="visible" name="Sensitivity Analysis - Op exp%" sheetId="4" r:id="rId8"/>
    <sheet state="visible" name="Sensitivity Analysis - WACC" sheetId="5" r:id="rId9"/>
    <sheet state="visible" name="Relative Valuation" sheetId="6" r:id="rId10"/>
    <sheet state="visible" name="Synergy Valuation" sheetId="7" r:id="rId11"/>
    <sheet state="visible" name="Deal Structure" sheetId="8" r:id="rId12"/>
    <sheet state="visible" name="Cashflow" sheetId="9" r:id="rId13"/>
    <sheet state="visible" name="Income Statement " sheetId="10" r:id="rId14"/>
    <sheet state="visible" name="Balance Sheet " sheetId="11" r:id="rId15"/>
    <sheet state="visible" name="Beta" sheetId="12" r:id="rId16"/>
  </sheets>
  <definedNames/>
  <calcPr/>
</workbook>
</file>

<file path=xl/sharedStrings.xml><?xml version="1.0" encoding="utf-8"?>
<sst xmlns="http://schemas.openxmlformats.org/spreadsheetml/2006/main" count="625" uniqueCount="363">
  <si>
    <t>Target Company.: Bega Cheese</t>
  </si>
  <si>
    <t xml:space="preserve">Bega Cheese's Financial Summary and Projections, 2019-2028 </t>
  </si>
  <si>
    <t>Acquiring Company.: Woolsworths</t>
  </si>
  <si>
    <t xml:space="preserve">WACC CALCULATION </t>
  </si>
  <si>
    <t>2024E</t>
  </si>
  <si>
    <t>((Ke*Equity/Equity+Debt)+(Debt*Kd*(1-T)))</t>
  </si>
  <si>
    <t>2025E</t>
  </si>
  <si>
    <t>2026E</t>
  </si>
  <si>
    <t>2027E</t>
  </si>
  <si>
    <t>2028E</t>
  </si>
  <si>
    <t>Operating Revenue</t>
  </si>
  <si>
    <t>((Ke*Equity/Equity+Debt)+(Debt*Kd*(1-T)/100))</t>
  </si>
  <si>
    <r>
      <rPr>
        <rFont val="Cambria Math"/>
        <color rgb="FF000000"/>
        <sz val="14.0"/>
      </rPr>
      <t xml:space="preserve">Risk free rate </t>
    </r>
    <r>
      <rPr>
        <rFont val="Cambria Math"/>
        <b/>
        <color rgb="FF000000"/>
        <sz val="14.0"/>
      </rPr>
      <t>(Rf)</t>
    </r>
    <r>
      <rPr>
        <rFont val="Cambria Math"/>
        <color rgb="FF000000"/>
        <sz val="14.0"/>
      </rPr>
      <t xml:space="preserve"> *</t>
    </r>
  </si>
  <si>
    <t>as of 3rd May 2024</t>
  </si>
  <si>
    <r>
      <rPr>
        <rFont val="Cambria Math"/>
        <color rgb="FF000000"/>
        <sz val="14.0"/>
      </rPr>
      <t xml:space="preserve">Risk free rate </t>
    </r>
    <r>
      <rPr>
        <rFont val="Cambria Math"/>
        <b/>
        <color rgb="FF000000"/>
        <sz val="14.0"/>
      </rPr>
      <t>(Rf)</t>
    </r>
    <r>
      <rPr>
        <rFont val="Cambria Math"/>
        <color rgb="FF000000"/>
        <sz val="14.0"/>
      </rPr>
      <t xml:space="preserve"> *</t>
    </r>
  </si>
  <si>
    <r>
      <rPr>
        <rFont val="Cambria Math"/>
        <color rgb="FF000000"/>
        <sz val="14.0"/>
      </rPr>
      <t>Cost of debt</t>
    </r>
    <r>
      <rPr>
        <rFont val="Cambria Math"/>
        <b/>
        <color rgb="FF000000"/>
        <sz val="14.0"/>
      </rPr>
      <t xml:space="preserve"> (Kd</t>
    </r>
    <r>
      <rPr>
        <rFont val="Cambria Math"/>
        <color rgb="FF000000"/>
        <sz val="14.0"/>
      </rPr>
      <t xml:space="preserve"> )</t>
    </r>
  </si>
  <si>
    <r>
      <rPr>
        <rFont val="Cambria Math"/>
        <color rgb="FF000000"/>
        <sz val="14.0"/>
      </rPr>
      <t>Cost of debt</t>
    </r>
    <r>
      <rPr>
        <rFont val="Cambria Math"/>
        <b/>
        <color rgb="FF000000"/>
        <sz val="14.0"/>
      </rPr>
      <t xml:space="preserve"> (Kd</t>
    </r>
    <r>
      <rPr>
        <rFont val="Cambria Math"/>
        <color rgb="FF000000"/>
        <sz val="14.0"/>
      </rPr>
      <t xml:space="preserve"> )</t>
    </r>
  </si>
  <si>
    <r>
      <rPr>
        <rFont val="Cambria Math"/>
        <color rgb="FF000000"/>
        <sz val="14.0"/>
      </rPr>
      <t xml:space="preserve">Market rate </t>
    </r>
    <r>
      <rPr>
        <rFont val="Cambria Math"/>
        <b/>
        <color rgb="FF000000"/>
        <sz val="14.0"/>
      </rPr>
      <t>(Rm)</t>
    </r>
    <r>
      <rPr>
        <rFont val="Cambria Math"/>
        <color rgb="FF000000"/>
        <sz val="14.0"/>
      </rPr>
      <t xml:space="preserve"> [Rm = Rf + ERP]</t>
    </r>
  </si>
  <si>
    <r>
      <rPr>
        <rFont val="Cambria Math"/>
        <color rgb="FF000000"/>
        <sz val="14.0"/>
      </rPr>
      <t xml:space="preserve">Market rate </t>
    </r>
    <r>
      <rPr>
        <rFont val="Cambria Math"/>
        <b/>
        <color rgb="FF000000"/>
        <sz val="14.0"/>
      </rPr>
      <t>(Rm)</t>
    </r>
    <r>
      <rPr>
        <rFont val="Cambria Math"/>
        <color rgb="FF000000"/>
        <sz val="14.0"/>
      </rPr>
      <t xml:space="preserve"> [Rm = Rf + ERP]</t>
    </r>
  </si>
  <si>
    <t>Operating income</t>
  </si>
  <si>
    <r>
      <rPr>
        <rFont val="Cambria Math"/>
        <color rgb="FF000000"/>
        <sz val="14.0"/>
      </rPr>
      <t xml:space="preserve">Equity Risk Premium </t>
    </r>
    <r>
      <rPr>
        <rFont val="Cambria Math"/>
        <b/>
        <color rgb="FF000000"/>
        <sz val="14.0"/>
      </rPr>
      <t>(Rm - Rf)</t>
    </r>
    <r>
      <rPr>
        <rFont val="Cambria Math"/>
        <color rgb="FF000000"/>
        <sz val="14.0"/>
      </rPr>
      <t xml:space="preserve"> *</t>
    </r>
  </si>
  <si>
    <r>
      <rPr>
        <rFont val="Cambria Math"/>
        <color rgb="FF000000"/>
        <sz val="14.0"/>
      </rPr>
      <t xml:space="preserve">Equity Risk Premium </t>
    </r>
    <r>
      <rPr>
        <rFont val="Cambria Math"/>
        <b/>
        <color rgb="FF000000"/>
        <sz val="14.0"/>
      </rPr>
      <t>(Rm - Rf)</t>
    </r>
    <r>
      <rPr>
        <rFont val="Cambria Math"/>
        <color rgb="FF000000"/>
        <sz val="14.0"/>
      </rPr>
      <t xml:space="preserve"> *</t>
    </r>
  </si>
  <si>
    <r>
      <rPr>
        <rFont val="Cambria Math"/>
        <b/>
        <color rgb="FF000000"/>
        <sz val="14.0"/>
      </rPr>
      <t>Equity</t>
    </r>
    <r>
      <rPr>
        <rFont val="Cambria Math"/>
        <color rgb="FF000000"/>
        <sz val="14.0"/>
      </rPr>
      <t xml:space="preserve"> (100-debt)</t>
    </r>
  </si>
  <si>
    <r>
      <rPr>
        <rFont val="Cambria Math"/>
        <b/>
        <color rgb="FF000000"/>
        <sz val="14.0"/>
      </rPr>
      <t>Equity</t>
    </r>
    <r>
      <rPr>
        <rFont val="Cambria Math"/>
        <color rgb="FF000000"/>
        <sz val="14.0"/>
      </rPr>
      <t xml:space="preserve"> (100-debt)</t>
    </r>
  </si>
  <si>
    <t>Debt</t>
  </si>
  <si>
    <t xml:space="preserve">Operating Expense </t>
  </si>
  <si>
    <r>
      <rPr>
        <rFont val="Cambria Math"/>
        <color rgb="FF000000"/>
        <sz val="14.0"/>
      </rPr>
      <t xml:space="preserve">Beta  </t>
    </r>
    <r>
      <rPr>
        <rFont val="Cambria Math"/>
        <b/>
        <color rgb="FF000000"/>
        <sz val="14.0"/>
      </rPr>
      <t>(β)</t>
    </r>
  </si>
  <si>
    <r>
      <rPr>
        <rFont val="Cambria Math"/>
        <color rgb="FF000000"/>
        <sz val="14.0"/>
      </rPr>
      <t xml:space="preserve">Beta  </t>
    </r>
    <r>
      <rPr>
        <rFont val="Cambria Math"/>
        <b/>
        <color rgb="FF000000"/>
        <sz val="14.0"/>
      </rPr>
      <t>(β)</t>
    </r>
  </si>
  <si>
    <r>
      <rPr>
        <rFont val="Cambria Math"/>
        <color rgb="FF000000"/>
        <sz val="14.0"/>
      </rPr>
      <t xml:space="preserve">Tax rate  </t>
    </r>
    <r>
      <rPr>
        <rFont val="Cambria Math"/>
        <b/>
        <color rgb="FF000000"/>
        <sz val="14.0"/>
      </rPr>
      <t>(T)</t>
    </r>
  </si>
  <si>
    <t>as mentioned in Annual Report</t>
  </si>
  <si>
    <r>
      <rPr>
        <rFont val="Cambria Math"/>
        <color rgb="FF000000"/>
        <sz val="14.0"/>
      </rPr>
      <t xml:space="preserve">Tax rate  </t>
    </r>
    <r>
      <rPr>
        <rFont val="Cambria Math"/>
        <b/>
        <color rgb="FF000000"/>
        <sz val="14.0"/>
      </rPr>
      <t>(T)</t>
    </r>
  </si>
  <si>
    <r>
      <rPr>
        <rFont val="Cambria Math"/>
        <b/>
        <color rgb="FF000000"/>
        <sz val="14.0"/>
      </rPr>
      <t>Ke</t>
    </r>
    <r>
      <rPr>
        <rFont val="Cambria Math"/>
        <color rgb="FF000000"/>
        <sz val="14.0"/>
      </rPr>
      <t xml:space="preserve"> (CAPM) = (Rf+β(Rm-Rf))</t>
    </r>
  </si>
  <si>
    <r>
      <rPr>
        <rFont val="Cambria Math"/>
        <b/>
        <color rgb="FF000000"/>
        <sz val="14.0"/>
      </rPr>
      <t>Ke</t>
    </r>
    <r>
      <rPr>
        <rFont val="Cambria Math"/>
        <color rgb="FF000000"/>
        <sz val="14.0"/>
      </rPr>
      <t xml:space="preserve"> (CAPM) = (Rf+β(Rm-Rf))</t>
    </r>
  </si>
  <si>
    <t>Operating expense yoy %</t>
  </si>
  <si>
    <t xml:space="preserve">WACC </t>
  </si>
  <si>
    <t>Sales Growth</t>
  </si>
  <si>
    <t>Operating Margin</t>
  </si>
  <si>
    <t xml:space="preserve"> Beta (5Y)</t>
  </si>
  <si>
    <t>Beta (5Y)</t>
  </si>
  <si>
    <t>Sources of Reference</t>
  </si>
  <si>
    <t xml:space="preserve">Values </t>
  </si>
  <si>
    <t>https://finbox.com/ASX:BGA/models/wacc/</t>
  </si>
  <si>
    <t>https://finbox.com/ASX:WOW/explorer/beta/</t>
  </si>
  <si>
    <t>Assumed Sales growth % each year</t>
  </si>
  <si>
    <t>link in gdoc</t>
  </si>
  <si>
    <t>Assumed Operating expenses % each year</t>
  </si>
  <si>
    <t xml:space="preserve">same proportion op &amp; sales </t>
  </si>
  <si>
    <t>https://au.finance.yahoo.com/quote/BGA.AX/key-statistics/</t>
  </si>
  <si>
    <t>https://au.finance.yahoo.com/quote/WOW.AX/key-statistics/</t>
  </si>
  <si>
    <t>https://www.tradingview.com/symbols/ASX-BGA/</t>
  </si>
  <si>
    <t>WOW.AX - | Stock Price &amp; Latest News | Reuters</t>
  </si>
  <si>
    <t>Been assumed that op expenses follows a similar proportion of the yoy inc in the op revenue</t>
  </si>
  <si>
    <t>Bega Cheese Limited : Standalone Valuation</t>
  </si>
  <si>
    <t xml:space="preserve">same proportion op and sales </t>
  </si>
  <si>
    <t>https://markets.ft.com/data/equities/tearsheet/summary?s=BGA:ASX</t>
  </si>
  <si>
    <t>https://datanalysis-morningstar-com-au.ap1.proxy.openathens.net/af/company/fullcompanyreport?ASXCode=WOW&amp;licensee=datpremium&amp;xsl-printfriendly=yes&amp;xsl-printfullreport=yes</t>
  </si>
  <si>
    <t>Average</t>
  </si>
  <si>
    <t>Base year</t>
  </si>
  <si>
    <t>Forecast years</t>
  </si>
  <si>
    <t>Years</t>
  </si>
  <si>
    <t>Capital Structure:Working Note</t>
  </si>
  <si>
    <t>Assumed %</t>
  </si>
  <si>
    <t>Capital Structure : Working Note</t>
  </si>
  <si>
    <t>annual report 2023</t>
  </si>
  <si>
    <t xml:space="preserve">Interest Expense </t>
  </si>
  <si>
    <t>Inputs</t>
  </si>
  <si>
    <t>Short term debt</t>
  </si>
  <si>
    <t xml:space="preserve">Total Debt </t>
  </si>
  <si>
    <t>Long term debt</t>
  </si>
  <si>
    <r>
      <rPr>
        <rFont val="Times New Roman"/>
        <color theme="1"/>
        <sz val="12.0"/>
      </rPr>
      <t xml:space="preserve">growth by </t>
    </r>
    <r>
      <rPr>
        <rFont val="Times New Roman"/>
        <b/>
        <color theme="1"/>
        <sz val="12.0"/>
      </rPr>
      <t>4.7%</t>
    </r>
  </si>
  <si>
    <t>Total Equity</t>
  </si>
  <si>
    <t>Tax rate</t>
  </si>
  <si>
    <r>
      <rPr>
        <rFont val="Times New Roman"/>
        <color theme="1"/>
        <sz val="12.0"/>
      </rPr>
      <t xml:space="preserve">growth by </t>
    </r>
    <r>
      <rPr>
        <rFont val="Times New Roman"/>
        <b/>
        <color theme="1"/>
        <sz val="12.0"/>
      </rPr>
      <t>4.7%</t>
    </r>
  </si>
  <si>
    <t>Other Revenue</t>
  </si>
  <si>
    <t>Total Debt</t>
  </si>
  <si>
    <r>
      <rPr>
        <rFont val="Times New Roman"/>
        <color theme="1"/>
        <sz val="16.0"/>
      </rPr>
      <t xml:space="preserve">growth by </t>
    </r>
    <r>
      <rPr>
        <rFont val="Times New Roman"/>
        <b/>
        <color theme="1"/>
        <sz val="16.0"/>
      </rPr>
      <t>4.7%</t>
    </r>
  </si>
  <si>
    <t>Cost of Debt (Kd)</t>
  </si>
  <si>
    <t>Debt to value ratio (D/V)</t>
  </si>
  <si>
    <t>NWC%</t>
  </si>
  <si>
    <t>Operating Expense</t>
  </si>
  <si>
    <t>Equity to value ratio (E/V)</t>
  </si>
  <si>
    <t>shown above</t>
  </si>
  <si>
    <t>WACC</t>
  </si>
  <si>
    <t>Depreciation</t>
  </si>
  <si>
    <t>Assumptions made* :</t>
  </si>
  <si>
    <r>
      <rPr>
        <rFont val="Aptos Narrow"/>
        <color theme="1"/>
      </rPr>
      <t xml:space="preserve">1. Risk free rate: </t>
    </r>
    <r>
      <rPr>
        <rFont val="Aptos Narrow"/>
        <i/>
        <color theme="1"/>
        <sz val="12.0"/>
      </rPr>
      <t>10Y govt bond  yield</t>
    </r>
  </si>
  <si>
    <t>Source (https://www.bloomberg.com/markets/rates-bonds/government-bonds/australia)</t>
  </si>
  <si>
    <t xml:space="preserve">2. Equity Risk Premium (Rm-Rf) </t>
  </si>
  <si>
    <t>Source(https://pages.stern.nyu.edu/~adamodar/New_Home_Page/datafile/ctryprem.html)</t>
  </si>
  <si>
    <t>Check Balance Sheet</t>
  </si>
  <si>
    <t>CAPEX %</t>
  </si>
  <si>
    <t>Terminal Growth Rate</t>
  </si>
  <si>
    <t>Less taxes</t>
  </si>
  <si>
    <t>NOPAT</t>
  </si>
  <si>
    <t>Add:</t>
  </si>
  <si>
    <t>Less:</t>
  </si>
  <si>
    <t>Change in NWC</t>
  </si>
  <si>
    <t>WN1</t>
  </si>
  <si>
    <t>Increase in CAPEX</t>
  </si>
  <si>
    <t>Free Cash Flow (FCFF)</t>
  </si>
  <si>
    <t>Number of Years</t>
  </si>
  <si>
    <t>PV of FCF</t>
  </si>
  <si>
    <t>FCF/(1+WACC)^t</t>
  </si>
  <si>
    <t>Terminal Value</t>
  </si>
  <si>
    <t>TV = FCFn*(1+g)/(WACC -g)</t>
  </si>
  <si>
    <t>Enterprise Value</t>
  </si>
  <si>
    <t xml:space="preserve">Shares Outstanding </t>
  </si>
  <si>
    <t>Net Working Capital</t>
  </si>
  <si>
    <t>Value of debt</t>
  </si>
  <si>
    <t>Working Capital</t>
  </si>
  <si>
    <t>Current Price Per Share</t>
  </si>
  <si>
    <t>Control Premium %</t>
  </si>
  <si>
    <t>Value of Equity</t>
  </si>
  <si>
    <t>Changes in Working Capital</t>
  </si>
  <si>
    <t>New Price per share</t>
  </si>
  <si>
    <t>Acquisition Premium/Control price per share</t>
  </si>
  <si>
    <t>Sensitivity Analysis for Sales Growth Rate</t>
  </si>
  <si>
    <t>Sales Growth Rate %</t>
  </si>
  <si>
    <t xml:space="preserve">Total Acquisition/Control Premium </t>
  </si>
  <si>
    <t>FCFF</t>
  </si>
  <si>
    <t>Sensitivity Analysis for Operating expenses %</t>
  </si>
  <si>
    <t>Operating Expenses %</t>
  </si>
  <si>
    <t>FBJND</t>
  </si>
  <si>
    <t>FDKJNKDFV</t>
  </si>
  <si>
    <t>Proportion**</t>
  </si>
  <si>
    <t>Total Operating revenue</t>
  </si>
  <si>
    <t>Total Operating expenses</t>
  </si>
  <si>
    <t xml:space="preserve">ame proportion op &amp; sales </t>
  </si>
  <si>
    <r>
      <rPr>
        <rFont val="Times New Roman"/>
        <color theme="1"/>
        <sz val="12.0"/>
      </rPr>
      <t xml:space="preserve">growth by </t>
    </r>
    <r>
      <rPr>
        <rFont val="Times New Roman"/>
        <b/>
        <color theme="1"/>
        <sz val="12.0"/>
      </rPr>
      <t>4.7%</t>
    </r>
  </si>
  <si>
    <t>RELATIVE VALUATION</t>
  </si>
  <si>
    <t>Comparison of Enterprise Value under different methods</t>
  </si>
  <si>
    <t>Bega Cheese Limited Valuation with Synergy</t>
  </si>
  <si>
    <t>Standalone Valuation</t>
  </si>
  <si>
    <t>Synergy Valuation</t>
  </si>
  <si>
    <t>Multiples Valuation</t>
  </si>
  <si>
    <t xml:space="preserve">Enterprise Value </t>
  </si>
  <si>
    <t>Base Year</t>
  </si>
  <si>
    <t>2023 Values from MorningStar</t>
  </si>
  <si>
    <t>Forecast Years</t>
  </si>
  <si>
    <t>(based on mkt cap)</t>
  </si>
  <si>
    <t xml:space="preserve"> Companies</t>
  </si>
  <si>
    <t>Share Price</t>
  </si>
  <si>
    <t xml:space="preserve">Average Value </t>
  </si>
  <si>
    <t>Share Outstanding</t>
  </si>
  <si>
    <t>EPS</t>
  </si>
  <si>
    <t>Market Cap</t>
  </si>
  <si>
    <t>Net Income</t>
  </si>
  <si>
    <t>Revenue</t>
  </si>
  <si>
    <t>EBITDA</t>
  </si>
  <si>
    <t>P/E</t>
  </si>
  <si>
    <t>P/B</t>
  </si>
  <si>
    <t>EV/EBITDA</t>
  </si>
  <si>
    <t>EV/EBIT</t>
  </si>
  <si>
    <t>EV/Revenue</t>
  </si>
  <si>
    <t>MV /Revenue</t>
  </si>
  <si>
    <t>MV/ Net Income</t>
  </si>
  <si>
    <t>Year</t>
  </si>
  <si>
    <t>Weights Assumed</t>
  </si>
  <si>
    <t>Ridley Corporation Limited</t>
  </si>
  <si>
    <t>Assumptions</t>
  </si>
  <si>
    <t>Tax Rate</t>
  </si>
  <si>
    <t xml:space="preserve">Deal Structure </t>
  </si>
  <si>
    <t>Operating Income</t>
  </si>
  <si>
    <t>Before Acquisition</t>
  </si>
  <si>
    <t>After Acquisition</t>
  </si>
  <si>
    <t>Total Acquisition Cost</t>
  </si>
  <si>
    <t>Assumed Cash split %</t>
  </si>
  <si>
    <t>Old Price Per Share</t>
  </si>
  <si>
    <t>Equity</t>
  </si>
  <si>
    <t>WACC BGA</t>
  </si>
  <si>
    <t>A2 Milk Company</t>
  </si>
  <si>
    <t>Assumed equity split %</t>
  </si>
  <si>
    <t>Cost Savings</t>
  </si>
  <si>
    <t>FFI Holdings Limited</t>
  </si>
  <si>
    <t>Cash</t>
  </si>
  <si>
    <t>Acquisition Premium price per share</t>
  </si>
  <si>
    <t>Cash component</t>
  </si>
  <si>
    <t>WACC WOW</t>
  </si>
  <si>
    <t>D/E</t>
  </si>
  <si>
    <t xml:space="preserve">Acquisition Premium </t>
  </si>
  <si>
    <t>Bubs Australia Limited</t>
  </si>
  <si>
    <t>Integration Costs</t>
  </si>
  <si>
    <t xml:space="preserve">Terminal Growth </t>
  </si>
  <si>
    <t xml:space="preserve">Equity component </t>
  </si>
  <si>
    <t>Operating Income + Synergies</t>
  </si>
  <si>
    <t>Bega Cheese</t>
  </si>
  <si>
    <t>No. of shares issued</t>
  </si>
  <si>
    <t>Taxes</t>
  </si>
  <si>
    <t>Current share price</t>
  </si>
  <si>
    <t>Assuming new debt</t>
  </si>
  <si>
    <t>Total Market Cap</t>
  </si>
  <si>
    <t>Average of Valuations</t>
  </si>
  <si>
    <t>Sensitivity Analysis for WACC</t>
  </si>
  <si>
    <t>Companies</t>
  </si>
  <si>
    <t>Weights</t>
  </si>
  <si>
    <t>Weighted EV/EBITDA</t>
  </si>
  <si>
    <t>Weighted EV/EBIT</t>
  </si>
  <si>
    <t>Weighted EV/Revenue</t>
  </si>
  <si>
    <t>Average EV Valuation</t>
  </si>
  <si>
    <t>Price per share</t>
  </si>
  <si>
    <t>Acquisition Premium per share</t>
  </si>
  <si>
    <t>Capital Expenditures</t>
  </si>
  <si>
    <t>SUM</t>
  </si>
  <si>
    <t>PV of FCFF</t>
  </si>
  <si>
    <t>AVERAGE (EV)</t>
  </si>
  <si>
    <t>Comparing Standalone vs. Synergy Valuation</t>
  </si>
  <si>
    <t>Acquisition premium per share</t>
  </si>
  <si>
    <t>Without Synergy</t>
  </si>
  <si>
    <t>With Synergy</t>
  </si>
  <si>
    <t xml:space="preserve">Acquisition premium </t>
  </si>
  <si>
    <t>Current Market Price</t>
  </si>
  <si>
    <t>Shares Outstanding</t>
  </si>
  <si>
    <t>Data Sourced from : MorningStar</t>
  </si>
  <si>
    <t>Item</t>
  </si>
  <si>
    <t>Operating Cash Flow</t>
  </si>
  <si>
    <t>Receipts from Customers</t>
  </si>
  <si>
    <t>06/19</t>
  </si>
  <si>
    <t>06/20</t>
  </si>
  <si>
    <t>Payments to Suppliers and Employees</t>
  </si>
  <si>
    <t>06/21</t>
  </si>
  <si>
    <t>06/22</t>
  </si>
  <si>
    <t>06/23</t>
  </si>
  <si>
    <t>Dividends Received</t>
  </si>
  <si>
    <t>Interest Received</t>
  </si>
  <si>
    <t>Interest Paid</t>
  </si>
  <si>
    <t>Tax Paid</t>
  </si>
  <si>
    <t>Other Operating Cashflows</t>
  </si>
  <si>
    <t>Net Operating Cashflows</t>
  </si>
  <si>
    <t>***Assumption Notes</t>
  </si>
  <si>
    <t>Investing Cashflow</t>
  </si>
  <si>
    <t>CAPEX 2022</t>
  </si>
  <si>
    <t>CAPEX 2023</t>
  </si>
  <si>
    <t>Payment for Purchase of PPE</t>
  </si>
  <si>
    <t>Proceeds From Sale of PPE</t>
  </si>
  <si>
    <t>Operating Revenue 2022</t>
  </si>
  <si>
    <t>Other Revenue %</t>
  </si>
  <si>
    <t>YOY Avg Revenue</t>
  </si>
  <si>
    <t>Operating Revenue 2023</t>
  </si>
  <si>
    <t>Investments Purchased</t>
  </si>
  <si>
    <t>Proceeds From Sale of Investments</t>
  </si>
  <si>
    <t>CAPEX to Sales %</t>
  </si>
  <si>
    <t>Payments for Purchase of Subsidiaries</t>
  </si>
  <si>
    <t>Proceeds from Sale of Subsidiaries</t>
  </si>
  <si>
    <t>Total Revenue Excluding Interest</t>
  </si>
  <si>
    <t>Average CAPEX %</t>
  </si>
  <si>
    <t>Operating Expenses</t>
  </si>
  <si>
    <t>Operating expense %</t>
  </si>
  <si>
    <t>op exp to sales %</t>
  </si>
  <si>
    <t>Loans Granted</t>
  </si>
  <si>
    <t>Loans Repaid</t>
  </si>
  <si>
    <t>Other Investing Cashflows</t>
  </si>
  <si>
    <t>Net Investing Cashflows</t>
  </si>
  <si>
    <t>Financing Cashflows</t>
  </si>
  <si>
    <t>Proceeds from Issues</t>
  </si>
  <si>
    <t>Proceeds from Borrowings</t>
  </si>
  <si>
    <t>CAPEX</t>
  </si>
  <si>
    <t>Repayment of Borrowings</t>
  </si>
  <si>
    <t>Dividends Paid</t>
  </si>
  <si>
    <t>Amortisation</t>
  </si>
  <si>
    <t>Other Financing Cashflows</t>
  </si>
  <si>
    <t>DEP/CAPEX</t>
  </si>
  <si>
    <t>Net Financing Cashflows</t>
  </si>
  <si>
    <t>Net Increase in Cash</t>
  </si>
  <si>
    <t>Cash at Beginning of Period</t>
  </si>
  <si>
    <t>Exchange Rate Adj</t>
  </si>
  <si>
    <t>Other Cash Adjustments</t>
  </si>
  <si>
    <t>Cash at End of Period</t>
  </si>
  <si>
    <t>Depreciation and Amortisation</t>
  </si>
  <si>
    <t>AVERAGE</t>
  </si>
  <si>
    <t>EBIT(operating income)</t>
  </si>
  <si>
    <t>Interest Revenue</t>
  </si>
  <si>
    <t>Interest Expense</t>
  </si>
  <si>
    <t>Interest Expense avg %</t>
  </si>
  <si>
    <t>Working Capital 2022</t>
  </si>
  <si>
    <t>Working Capital 2023</t>
  </si>
  <si>
    <t>CA - Cash</t>
  </si>
  <si>
    <t>Net Interest Expense</t>
  </si>
  <si>
    <t>PreTax Profit</t>
  </si>
  <si>
    <t>CA - Receivables</t>
  </si>
  <si>
    <t>Tax Expense</t>
  </si>
  <si>
    <t>Net Profit after Tax Before Abnormals</t>
  </si>
  <si>
    <t>Abnormals</t>
  </si>
  <si>
    <t>CA - Prepaid Expenses</t>
  </si>
  <si>
    <t>Abnormals Tax</t>
  </si>
  <si>
    <t>Net Abnormals</t>
  </si>
  <si>
    <t>Reported NPAT After Abnormals</t>
  </si>
  <si>
    <t>Outside Equity Interests</t>
  </si>
  <si>
    <t>Shares Outstanding at Period End</t>
  </si>
  <si>
    <t>Weighted Average Number of Shares</t>
  </si>
  <si>
    <t>EPS Adjusted (cents/share)</t>
  </si>
  <si>
    <t>EPS After Abnormals (cents/share)</t>
  </si>
  <si>
    <t>CA - Inventories</t>
  </si>
  <si>
    <t>WC to Sales %</t>
  </si>
  <si>
    <t>CA - Investments</t>
  </si>
  <si>
    <t>Notes**</t>
  </si>
  <si>
    <t xml:space="preserve">1. The contraction termination fees was too high for 2021 of $15.9 million and there was legal settlement proceeds of $9.03 million which I have considered to be a one-off and have not considered to use it to value other revenue while taking an average. </t>
  </si>
  <si>
    <t xml:space="preserve">2. The gain on sale and leaseback for year 2023 of $16.2million has been considered to be a one-off and I have not considered it to value it as an average to get future projections </t>
  </si>
  <si>
    <t>I did year on year avg to get other revenue</t>
  </si>
  <si>
    <t>CA - NCA Held Sale</t>
  </si>
  <si>
    <t>Average NWC %</t>
  </si>
  <si>
    <t>CA - Other</t>
  </si>
  <si>
    <t>Total Current Assets</t>
  </si>
  <si>
    <t>NCA - Receivables</t>
  </si>
  <si>
    <t>NCA - Inventories</t>
  </si>
  <si>
    <t>dep in fcf</t>
  </si>
  <si>
    <t>NCA - Investments</t>
  </si>
  <si>
    <t>CAPEX % FOR FORECAST</t>
  </si>
  <si>
    <t>NCA - PP&amp;E</t>
  </si>
  <si>
    <t>1st step</t>
  </si>
  <si>
    <t>NCA - Intangibles(ExGW)</t>
  </si>
  <si>
    <t>DEPRECIATION</t>
  </si>
  <si>
    <t>Source: https://finbox.com/ASX:BGA/models/wacc/</t>
  </si>
  <si>
    <t>Comparable Companies</t>
  </si>
  <si>
    <t>Levered Beta</t>
  </si>
  <si>
    <t>Debt / Capital</t>
  </si>
  <si>
    <t>Marginal Tax Rate</t>
  </si>
  <si>
    <t>Unlevered Beta</t>
  </si>
  <si>
    <t>Adjusted Unlevered Beta</t>
  </si>
  <si>
    <t>Inghams Group Limited</t>
  </si>
  <si>
    <t>Ricegrowers Limited</t>
  </si>
  <si>
    <t>Ridley Corporation Limited</t>
  </si>
  <si>
    <t>FFI Holdings Limited</t>
  </si>
  <si>
    <t>Cobram Estate Olives Limited</t>
  </si>
  <si>
    <t>ASX:BGA</t>
  </si>
  <si>
    <t>2nd step</t>
  </si>
  <si>
    <t>NCA - Goodwill</t>
  </si>
  <si>
    <t>Low</t>
  </si>
  <si>
    <t>NCA - Future Tax Benefit</t>
  </si>
  <si>
    <t>High</t>
  </si>
  <si>
    <t>Selected Unlevered Beta</t>
  </si>
  <si>
    <t>Debt % of Capital (Adj According to Annual Report)</t>
  </si>
  <si>
    <t>NCA - Other</t>
  </si>
  <si>
    <t>Beta Values</t>
  </si>
  <si>
    <t>Source</t>
  </si>
  <si>
    <t>Equity % of Capital</t>
  </si>
  <si>
    <t>mornignstar</t>
  </si>
  <si>
    <t>Total NCA</t>
  </si>
  <si>
    <t>Tax Rate (Adj According to Annual Report)</t>
  </si>
  <si>
    <t>https://www.barrons.com/market-data/stocks/bga?countrycode=au</t>
  </si>
  <si>
    <t>Total Assets</t>
  </si>
  <si>
    <t>CL - Account Payable</t>
  </si>
  <si>
    <t>CL - Short-Term Debt</t>
  </si>
  <si>
    <t>CL - Provisions</t>
  </si>
  <si>
    <t>Total debt</t>
  </si>
  <si>
    <t>CL - NCL Held Sale</t>
  </si>
  <si>
    <t>CL - Other</t>
  </si>
  <si>
    <t>Re-levered Beta</t>
  </si>
  <si>
    <t>Total Curr. Liabilities</t>
  </si>
  <si>
    <t>NCL - Account Payable</t>
  </si>
  <si>
    <t>NCL - Long-Term Debt</t>
  </si>
  <si>
    <t>I calculated</t>
  </si>
  <si>
    <t>NCL - Provisions</t>
  </si>
  <si>
    <t>NCL - Other</t>
  </si>
  <si>
    <t>Total NCL</t>
  </si>
  <si>
    <t>Total Liabilities</t>
  </si>
  <si>
    <t>Share Capital</t>
  </si>
  <si>
    <t>Reserves</t>
  </si>
  <si>
    <t>Retained Earnings</t>
  </si>
  <si>
    <t>Other Equity</t>
  </si>
  <si>
    <t>Convertible Equity</t>
  </si>
  <si>
    <t>SE Held Sale</t>
  </si>
  <si>
    <t>Outside Equity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</si>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</sst>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&quot;$&quot;#,##0.0_);[Red]\(&quot;$&quot;#,##0.0\)"/>
    <numFmt numFmtId="165" formatCode="&quot;$&quot;#,##0.00_);[Red]\(&quot;$&quot;#,##0.00\)"/>
    <numFmt numFmtId="166" formatCode="_([$$-409]* #,##0.00_);_([$$-409]* \(#,##0.00\);_([$$-409]* &quot;-&quot;??_);_(@_)"/>
    <numFmt numFmtId="167" formatCode="0.0%"/>
    <numFmt numFmtId="168" formatCode="_(* #,##0.00_);_(* \(#,##0.00\);_(* &quot;-&quot;??_);_(@_)"/>
    <numFmt numFmtId="169" formatCode="0.000%"/>
    <numFmt numFmtId="170" formatCode="_(* #,##0.000_);_(* \(#,##0.000\);_(* &quot;-&quot;??_);_(@_)"/>
    <numFmt numFmtId="171" formatCode="_-* #,##0.00_-;\-* #,##0.00_-;_-* &quot;-&quot;??_-;_-@"/>
    <numFmt numFmtId="172" formatCode="[$$-C09]#,##0"/>
    <numFmt numFmtId="173" formatCode="0.000"/>
    <numFmt numFmtId="174" formatCode="_([$$-409]* #,##0_);_([$$-409]* \(#,##0\);_([$$-409]* &quot;-&quot;??_);_(@_)"/>
    <numFmt numFmtId="175" formatCode="[$$]#,##0.00"/>
    <numFmt numFmtId="176" formatCode="_(* #,##0_);_(* \(#,##0\);_(* &quot;-&quot;??_);_(@_)"/>
    <numFmt numFmtId="177" formatCode="0.0"/>
    <numFmt numFmtId="178" formatCode="[$$]#,##0"/>
    <numFmt numFmtId="179" formatCode="_-[$$-C09]* #,##0_-;\-[$$-C09]* #,##0_-;_-[$$-C09]* &quot;-&quot;??_-;_-@"/>
    <numFmt numFmtId="180" formatCode="_-&quot;$&quot;* #,##0.00_-;\-&quot;$&quot;* #,##0.00_-;_-&quot;$&quot;* &quot;-&quot;??_-;_-@"/>
    <numFmt numFmtId="181" formatCode="_-[$$-409]* #,##0.00_ ;_-[$$-409]* \-#,##0.00\ ;_-[$$-409]* &quot;-&quot;??_ ;_-@_ "/>
    <numFmt numFmtId="182" formatCode="_-&quot;$&quot;* #,##0_-;\-&quot;$&quot;* #,##0_-;_-&quot;$&quot;* &quot;-&quot;??_-;_-@"/>
    <numFmt numFmtId="183" formatCode="#,##0.0_);[Red]\(#,##0.0\)"/>
    <numFmt numFmtId="184" formatCode="#,##0.000000"/>
  </numFmts>
  <fonts count="97">
    <font>
      <sz val="12.0"/>
      <color theme="1"/>
      <name val="Aptos Narrow"/>
      <scheme val="minor"/>
    </font>
    <font>
      <sz val="12.0"/>
      <color theme="1"/>
      <name val="Times New Roman"/>
    </font>
    <font>
      <sz val="14.0"/>
      <color rgb="FFCAEDFB"/>
      <name val="Aptos Narrow"/>
    </font>
    <font>
      <b/>
      <sz val="12.0"/>
      <color theme="1"/>
      <name val="Times New Roman"/>
    </font>
    <font>
      <sz val="16.0"/>
      <color theme="1"/>
      <name val="Times New Roman"/>
    </font>
    <font/>
    <font>
      <b/>
      <sz val="16.0"/>
      <color theme="1"/>
      <name val="Times New Roman"/>
    </font>
    <font>
      <u/>
      <sz val="12.0"/>
      <color theme="1"/>
      <name val="Times New Roman"/>
    </font>
    <font>
      <sz val="16.0"/>
      <color theme="1"/>
      <name val="Aptos Narrow"/>
    </font>
    <font>
      <b/>
      <sz val="18.0"/>
      <color rgb="FF000000"/>
      <name val="Cambria Math"/>
    </font>
    <font>
      <u/>
      <sz val="16.0"/>
      <color theme="1"/>
      <name val="Times New Roman"/>
    </font>
    <font>
      <b/>
      <u/>
      <sz val="12.0"/>
      <color theme="1"/>
      <name val="Times New Roman"/>
    </font>
    <font>
      <b/>
      <u/>
      <sz val="16.0"/>
      <color theme="1"/>
      <name val="Times New Roman"/>
    </font>
    <font>
      <b/>
      <u/>
      <sz val="12.0"/>
      <color theme="1"/>
      <name val="Times New Roman"/>
    </font>
    <font>
      <sz val="11.0"/>
      <color rgb="FF000000"/>
      <name val="Cambria Math"/>
    </font>
    <font>
      <b/>
      <u/>
      <sz val="16.0"/>
      <color theme="1"/>
      <name val="Times New Roman"/>
    </font>
    <font>
      <sz val="12.0"/>
      <color theme="1"/>
      <name val="Aptos Narrow"/>
    </font>
    <font>
      <sz val="14.0"/>
      <color rgb="FF000000"/>
      <name val="Cambria Math"/>
    </font>
    <font>
      <i/>
      <sz val="10.0"/>
      <color theme="1"/>
      <name val="Aptos Narrow"/>
    </font>
    <font>
      <b/>
      <sz val="12.0"/>
      <color theme="1"/>
      <name val="Aptos Narrow"/>
    </font>
    <font>
      <sz val="14.0"/>
      <color rgb="FF333333"/>
      <name val="Inherit"/>
    </font>
    <font>
      <b/>
      <sz val="10.0"/>
      <color rgb="FF2689FB"/>
      <name val="Trebuchet MS"/>
    </font>
    <font>
      <sz val="10.0"/>
      <color rgb="FF4C4C35"/>
      <name val="Trebuchet MS"/>
    </font>
    <font>
      <b/>
      <sz val="14.0"/>
      <color rgb="FF000000"/>
      <name val="Cambria Math"/>
    </font>
    <font>
      <b/>
      <sz val="11.0"/>
      <color rgb="FF000000"/>
      <name val="Cambria Math"/>
    </font>
    <font>
      <b/>
      <sz val="10.0"/>
      <color rgb="FF434343"/>
      <name val="Trebuchet MS"/>
    </font>
    <font>
      <b/>
      <sz val="11.0"/>
      <color rgb="FFFFFFFF"/>
      <name val="Cambria Math"/>
    </font>
    <font>
      <sz val="11.0"/>
      <color theme="1"/>
      <name val="Aptos Narrow"/>
    </font>
    <font>
      <color theme="1"/>
      <name val="Aptos Narrow"/>
      <scheme val="minor"/>
    </font>
    <font>
      <u/>
      <sz val="11.0"/>
      <color theme="1"/>
      <name val="Aptos Narrow"/>
    </font>
    <font>
      <color theme="1"/>
      <name val="Arial"/>
    </font>
    <font>
      <b/>
      <sz val="16.0"/>
      <color theme="1"/>
      <name val="Aptos Narrow"/>
    </font>
    <font>
      <u/>
      <sz val="11.0"/>
      <color rgb="FF0000FF"/>
      <name val="Aptos Narrow"/>
    </font>
    <font>
      <b/>
      <sz val="18.0"/>
      <color theme="1"/>
      <name val="Times New Roman"/>
    </font>
    <font>
      <sz val="18.0"/>
      <color theme="1"/>
      <name val="Times New Roman"/>
    </font>
    <font>
      <sz val="16.0"/>
      <color theme="1"/>
      <name val="Arial"/>
    </font>
    <font>
      <u/>
      <sz val="11.0"/>
      <color theme="1"/>
      <name val="Aptos Narrow"/>
    </font>
    <font>
      <u/>
      <sz val="11.0"/>
      <color theme="1"/>
      <name val="Aptos Narrow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sz val="12.0"/>
      <color rgb="FF333333"/>
      <name val="Times New Roman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u/>
      <sz val="16.0"/>
      <color theme="1"/>
      <name val="Times New Roman"/>
    </font>
    <font>
      <sz val="11.0"/>
      <color rgb="FF333333"/>
      <name val="Times New Roman"/>
    </font>
    <font>
      <u/>
      <sz val="16.0"/>
      <color theme="1"/>
      <name val="Times New Roman"/>
    </font>
    <font>
      <sz val="11.0"/>
      <color theme="1"/>
      <name val="Verdana"/>
    </font>
    <font>
      <b/>
      <sz val="11.0"/>
      <color rgb="FF333333"/>
      <name val="Verdana"/>
    </font>
    <font>
      <b/>
      <sz val="12.0"/>
      <color rgb="FF000000"/>
      <name val="Aptos Narrow"/>
    </font>
    <font>
      <i/>
      <sz val="9.0"/>
      <color theme="1"/>
      <name val="Aptos Narrow"/>
    </font>
    <font>
      <i/>
      <sz val="16.0"/>
      <color theme="1"/>
      <name val="Aptos Narrow"/>
    </font>
    <font>
      <sz val="16.0"/>
      <color theme="0"/>
      <name val="Times New Roman"/>
    </font>
    <font>
      <b/>
      <u/>
      <sz val="16.0"/>
      <color theme="1"/>
      <name val="Times New Roman"/>
    </font>
    <font>
      <b/>
      <u/>
      <sz val="12.0"/>
      <color theme="1"/>
      <name val="Times New Roman"/>
    </font>
    <font>
      <b/>
      <sz val="22.0"/>
      <color theme="1"/>
      <name val="Aptos Narrow"/>
    </font>
    <font>
      <sz val="18.0"/>
      <color theme="1"/>
      <name val="Aptos Narrow"/>
    </font>
    <font>
      <b/>
      <sz val="22.0"/>
      <color rgb="FF000000"/>
      <name val="Aptos Narrow"/>
    </font>
    <font>
      <sz val="18.0"/>
      <color rgb="FF000000"/>
      <name val="Aptos Narrow"/>
    </font>
    <font>
      <sz val="20.0"/>
      <color theme="1"/>
      <name val="Aptos Narrow"/>
    </font>
    <font>
      <b/>
      <sz val="24.0"/>
      <color theme="1"/>
      <name val="Aptos Narrow"/>
    </font>
    <font>
      <b/>
      <sz val="20.0"/>
      <color theme="1"/>
      <name val="Arial"/>
    </font>
    <font>
      <sz val="20.0"/>
      <color theme="1"/>
      <name val="Arial"/>
    </font>
    <font>
      <b/>
      <u/>
      <sz val="20.0"/>
      <color rgb="FF0E2841"/>
      <name val="Times New Roman"/>
    </font>
    <font>
      <b/>
      <sz val="20.0"/>
      <color rgb="FF0E2841"/>
      <name val="Times New Roman"/>
    </font>
    <font>
      <i/>
      <sz val="9.0"/>
      <color theme="1"/>
      <name val="Times New Roman"/>
    </font>
    <font>
      <sz val="12.0"/>
      <color theme="1"/>
      <name val="Arial"/>
    </font>
    <font>
      <b/>
      <u/>
      <sz val="20.0"/>
      <color rgb="FF0E2841"/>
      <name val="Times New Roman"/>
    </font>
    <font>
      <b/>
      <u/>
      <sz val="12.0"/>
      <color theme="1"/>
      <name val="Times New Roman"/>
    </font>
    <font>
      <b/>
      <u/>
      <sz val="20.0"/>
      <color theme="1"/>
      <name val="Times New Roman"/>
    </font>
    <font>
      <b/>
      <sz val="20.0"/>
      <color theme="1"/>
      <name val="Aptos Narrow"/>
    </font>
    <font>
      <b/>
      <sz val="20.0"/>
      <color theme="1"/>
      <name val="Times New Roman"/>
    </font>
    <font>
      <sz val="20.0"/>
      <color theme="1"/>
      <name val="Times New Roman"/>
    </font>
    <font>
      <b/>
      <sz val="26.0"/>
      <color theme="1"/>
      <name val="Aptos Narrow"/>
    </font>
    <font>
      <sz val="20.0"/>
      <color rgb="FF0E2841"/>
      <name val="Times New Roman"/>
    </font>
    <font>
      <b/>
      <u/>
      <sz val="20.0"/>
      <color theme="1"/>
      <name val="Times New Roman"/>
    </font>
    <font>
      <b/>
      <sz val="18.0"/>
      <color theme="1"/>
      <name val="Aptos Narrow"/>
    </font>
    <font>
      <b/>
      <sz val="14.0"/>
      <color theme="1"/>
      <name val="Arial"/>
    </font>
    <font>
      <b/>
      <sz val="16.0"/>
      <color theme="1"/>
      <name val="Arial"/>
    </font>
    <font>
      <b/>
      <u/>
      <sz val="20.0"/>
      <color theme="1"/>
      <name val="Times New Roman"/>
    </font>
    <font>
      <b/>
      <u/>
      <sz val="20.0"/>
      <color theme="1"/>
      <name val="Times New Roman"/>
    </font>
    <font>
      <sz val="12.0"/>
      <color rgb="FF000000"/>
      <name val="Aptos Narrow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0.0"/>
      <color rgb="FF4C4C35"/>
      <name val="Trebuchet MS"/>
    </font>
    <font>
      <u/>
      <sz val="12.0"/>
      <color theme="10"/>
      <name val="Aptos Narrow"/>
    </font>
    <font>
      <b/>
      <sz val="12.0"/>
      <color rgb="FFFF0000"/>
      <name val="Aptos Narrow"/>
    </font>
  </fonts>
  <fills count="32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rgb="FF0C3512"/>
        <bgColor rgb="FF0C3512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215E99"/>
        <bgColor rgb="FF215E99"/>
      </patternFill>
    </fill>
    <fill>
      <patternFill patternType="solid">
        <fgColor rgb="FF275317"/>
        <bgColor rgb="FF275317"/>
      </patternFill>
    </fill>
    <fill>
      <patternFill patternType="solid">
        <fgColor rgb="FFFFFF00"/>
        <bgColor rgb="FFFFFF00"/>
      </patternFill>
    </fill>
    <fill>
      <patternFill patternType="solid">
        <fgColor rgb="FFAEAEAE"/>
        <bgColor rgb="FFAEAEAE"/>
      </patternFill>
    </fill>
    <fill>
      <patternFill patternType="solid">
        <fgColor rgb="FFFAE2D5"/>
        <bgColor rgb="FFFAE2D5"/>
      </patternFill>
    </fill>
    <fill>
      <patternFill patternType="solid">
        <fgColor rgb="FFD76DCC"/>
        <bgColor rgb="FFD76DCC"/>
      </patternFill>
    </fill>
    <fill>
      <patternFill patternType="solid">
        <fgColor rgb="FFE49EDD"/>
        <bgColor rgb="FFE49EDD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BFBFBF"/>
        <bgColor rgb="FFBFBFBF"/>
      </patternFill>
    </fill>
    <fill>
      <patternFill patternType="solid">
        <fgColor rgb="FFD0D0D0"/>
        <bgColor rgb="FFD0D0D0"/>
      </patternFill>
    </fill>
    <fill>
      <patternFill patternType="solid">
        <fgColor rgb="FFFFC000"/>
        <bgColor rgb="FFFFC000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92D050"/>
        <bgColor rgb="FF92D050"/>
      </patternFill>
    </fill>
    <fill>
      <patternFill patternType="solid">
        <fgColor rgb="FFF9CB9C"/>
        <bgColor rgb="FFF9CB9C"/>
      </patternFill>
    </fill>
    <fill>
      <patternFill patternType="solid">
        <fgColor rgb="FFDAF2D0"/>
        <bgColor rgb="FFDAF2D0"/>
      </patternFill>
    </fill>
    <fill>
      <patternFill patternType="solid">
        <fgColor rgb="FFCCCCCC"/>
        <bgColor rgb="FFCCCCCC"/>
      </patternFill>
    </fill>
    <fill>
      <patternFill patternType="solid">
        <fgColor theme="5"/>
        <bgColor theme="5"/>
      </patternFill>
    </fill>
  </fills>
  <borders count="76">
    <border/>
    <border>
      <lef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1" numFmtId="0" xfId="0" applyFont="1"/>
    <xf borderId="2" fillId="0" fontId="6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0" fillId="0" fontId="4" numFmtId="0" xfId="0" applyFont="1"/>
    <xf borderId="4" fillId="0" fontId="7" numFmtId="0" xfId="0" applyBorder="1" applyFont="1"/>
    <xf borderId="0" fillId="0" fontId="8" numFmtId="0" xfId="0" applyFont="1"/>
    <xf borderId="5" fillId="4" fontId="9" numFmtId="0" xfId="0" applyAlignment="1" applyBorder="1" applyFill="1" applyFont="1">
      <alignment horizontal="center"/>
    </xf>
    <xf borderId="4" fillId="0" fontId="10" numFmtId="0" xfId="0" applyBorder="1" applyFont="1"/>
    <xf borderId="4" fillId="5" fontId="11" numFmtId="0" xfId="0" applyAlignment="1" applyBorder="1" applyFill="1" applyFont="1">
      <alignment horizontal="center"/>
    </xf>
    <xf borderId="6" fillId="0" fontId="5" numFmtId="0" xfId="0" applyBorder="1" applyFont="1"/>
    <xf borderId="4" fillId="5" fontId="12" numFmtId="0" xfId="0" applyAlignment="1" applyBorder="1" applyFill="1" applyFont="1">
      <alignment horizontal="center"/>
    </xf>
    <xf borderId="4" fillId="6" fontId="13" numFmtId="0" xfId="0" applyAlignment="1" applyBorder="1" applyFill="1" applyFont="1">
      <alignment horizontal="center"/>
    </xf>
    <xf borderId="5" fillId="4" fontId="14" numFmtId="0" xfId="0" applyAlignment="1" applyBorder="1" applyFill="1" applyFont="1">
      <alignment horizontal="center"/>
    </xf>
    <xf borderId="4" fillId="6" fontId="15" numFmtId="0" xfId="0" applyAlignment="1" applyBorder="1" applyFill="1" applyFont="1">
      <alignment horizontal="center"/>
    </xf>
    <xf borderId="4" fillId="6" fontId="1" numFmtId="0" xfId="0" applyAlignment="1" applyBorder="1" applyFill="1" applyFont="1">
      <alignment horizontal="right"/>
    </xf>
    <xf borderId="7" fillId="6" fontId="16" numFmtId="4" xfId="0" applyBorder="1" applyFill="1" applyFont="1" applyNumberFormat="1"/>
    <xf borderId="4" fillId="0" fontId="4" numFmtId="0" xfId="0" applyAlignment="1" applyBorder="1" applyFont="1">
      <alignment horizontal="right"/>
    </xf>
    <xf borderId="4" fillId="4" fontId="17" numFmtId="0" xfId="0" applyAlignment="1" applyBorder="1" applyFill="1" applyFont="1">
      <alignment horizontal="center" vertical="center"/>
    </xf>
    <xf borderId="0" fillId="0" fontId="8" numFmtId="4" xfId="0" applyFont="1" applyNumberFormat="1"/>
    <xf borderId="4" fillId="0" fontId="16" numFmtId="10" xfId="0" applyAlignment="1" applyBorder="1" applyFont="1" applyNumberFormat="1">
      <alignment horizontal="center"/>
    </xf>
    <xf borderId="0" fillId="0" fontId="18" numFmtId="0" xfId="0" applyFont="1"/>
    <xf borderId="4" fillId="0" fontId="4" numFmtId="164" xfId="0" applyBorder="1" applyFont="1" applyNumberFormat="1"/>
    <xf borderId="4" fillId="6" fontId="1" numFmtId="164" xfId="0" applyBorder="1" applyFill="1" applyFont="1" applyNumberFormat="1"/>
    <xf borderId="8" fillId="7" fontId="19" numFmtId="10" xfId="0" applyAlignment="1" applyBorder="1" applyFill="1" applyFont="1" applyNumberFormat="1">
      <alignment horizontal="center" vertical="center"/>
    </xf>
    <xf borderId="9" fillId="4" fontId="16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right"/>
    </xf>
    <xf borderId="0" fillId="0" fontId="16" numFmtId="4" xfId="0" applyFont="1" applyNumberFormat="1"/>
    <xf borderId="8" fillId="8" fontId="19" numFmtId="10" xfId="0" applyAlignment="1" applyBorder="1" applyFill="1" applyFont="1" applyNumberFormat="1">
      <alignment horizontal="center" vertical="center"/>
    </xf>
    <xf borderId="0" fillId="0" fontId="20" numFmtId="0" xfId="0" applyFont="1"/>
    <xf borderId="4" fillId="0" fontId="4" numFmtId="165" xfId="0" applyBorder="1" applyFont="1" applyNumberFormat="1"/>
    <xf borderId="4" fillId="0" fontId="1" numFmtId="164" xfId="0" applyBorder="1" applyFont="1" applyNumberFormat="1"/>
    <xf borderId="4" fillId="7" fontId="19" numFmtId="10" xfId="0" applyAlignment="1" applyBorder="1" applyFill="1" applyFont="1" applyNumberFormat="1">
      <alignment horizontal="center"/>
    </xf>
    <xf borderId="4" fillId="0" fontId="1" numFmtId="165" xfId="0" applyBorder="1" applyFont="1" applyNumberFormat="1"/>
    <xf borderId="4" fillId="8" fontId="19" numFmtId="10" xfId="0" applyAlignment="1" applyBorder="1" applyFill="1" applyFont="1" applyNumberFormat="1">
      <alignment horizontal="center"/>
    </xf>
    <xf borderId="0" fillId="0" fontId="21" numFmtId="0" xfId="0" applyFont="1"/>
    <xf borderId="0" fillId="0" fontId="16" numFmtId="10" xfId="0" applyFont="1" applyNumberFormat="1"/>
    <xf borderId="4" fillId="4" fontId="14" numFmtId="2" xfId="0" applyAlignment="1" applyBorder="1" applyFill="1" applyFont="1" applyNumberFormat="1">
      <alignment horizontal="center" vertical="center"/>
    </xf>
    <xf borderId="4" fillId="4" fontId="14" numFmtId="9" xfId="0" applyAlignment="1" applyBorder="1" applyFill="1" applyFont="1" applyNumberFormat="1">
      <alignment horizontal="center" vertical="center"/>
    </xf>
    <xf borderId="0" fillId="0" fontId="22" numFmtId="10" xfId="0" applyFont="1" applyNumberFormat="1"/>
    <xf borderId="4" fillId="4" fontId="23" numFmtId="0" xfId="0" applyAlignment="1" applyBorder="1" applyFill="1" applyFont="1">
      <alignment horizontal="center" vertical="center"/>
    </xf>
    <xf borderId="4" fillId="0" fontId="4" numFmtId="4" xfId="0" applyBorder="1" applyFont="1" applyNumberFormat="1"/>
    <xf borderId="4" fillId="7" fontId="14" numFmtId="2" xfId="0" applyAlignment="1" applyBorder="1" applyFill="1" applyFont="1" applyNumberFormat="1">
      <alignment horizontal="center" vertical="center"/>
    </xf>
    <xf borderId="4" fillId="0" fontId="4" numFmtId="166" xfId="0" applyBorder="1" applyFont="1" applyNumberFormat="1"/>
    <xf borderId="4" fillId="8" fontId="14" numFmtId="9" xfId="0" applyAlignment="1" applyBorder="1" applyFill="1" applyFont="1" applyNumberFormat="1">
      <alignment horizontal="center" vertical="center"/>
    </xf>
    <xf borderId="4" fillId="7" fontId="24" numFmtId="2" xfId="0" applyAlignment="1" applyBorder="1" applyFill="1" applyFont="1" applyNumberFormat="1">
      <alignment horizontal="center" vertical="center"/>
    </xf>
    <xf borderId="4" fillId="8" fontId="24" numFmtId="2" xfId="0" applyAlignment="1" applyBorder="1" applyFill="1" applyFont="1" applyNumberFormat="1">
      <alignment horizontal="center" vertical="center"/>
    </xf>
    <xf borderId="0" fillId="0" fontId="18" numFmtId="0" xfId="0" applyAlignment="1" applyFont="1">
      <alignment horizontal="left"/>
    </xf>
    <xf borderId="4" fillId="0" fontId="1" numFmtId="4" xfId="0" applyBorder="1" applyFont="1" applyNumberFormat="1"/>
    <xf borderId="4" fillId="0" fontId="1" numFmtId="166" xfId="0" applyBorder="1" applyFont="1" applyNumberFormat="1"/>
    <xf borderId="10" fillId="4" fontId="17" numFmtId="0" xfId="0" applyAlignment="1" applyBorder="1" applyFill="1" applyFont="1">
      <alignment horizontal="center" vertical="center"/>
    </xf>
    <xf borderId="10" fillId="9" fontId="24" numFmtId="10" xfId="0" applyAlignment="1" applyBorder="1" applyFill="1" applyFont="1" applyNumberFormat="1">
      <alignment horizontal="center" vertical="center"/>
    </xf>
    <xf borderId="4" fillId="0" fontId="1" numFmtId="10" xfId="0" applyBorder="1" applyFont="1" applyNumberFormat="1"/>
    <xf borderId="10" fillId="10" fontId="24" numFmtId="10" xfId="0" applyAlignment="1" applyBorder="1" applyFill="1" applyFont="1" applyNumberFormat="1">
      <alignment horizontal="center" vertical="center"/>
    </xf>
    <xf borderId="0" fillId="0" fontId="25" numFmtId="0" xfId="0" applyFont="1"/>
    <xf borderId="11" fillId="4" fontId="23" numFmtId="0" xfId="0" applyAlignment="1" applyBorder="1" applyFill="1" applyFont="1">
      <alignment horizontal="center" vertical="center"/>
    </xf>
    <xf borderId="4" fillId="0" fontId="4" numFmtId="10" xfId="0" applyBorder="1" applyFont="1" applyNumberFormat="1"/>
    <xf borderId="4" fillId="0" fontId="1" numFmtId="167" xfId="0" applyBorder="1" applyFont="1" applyNumberFormat="1"/>
    <xf borderId="11" fillId="11" fontId="26" numFmtId="10" xfId="0" applyAlignment="1" applyBorder="1" applyFill="1" applyFont="1" applyNumberFormat="1">
      <alignment horizontal="center" vertical="center"/>
    </xf>
    <xf borderId="12" fillId="12" fontId="26" numFmtId="10" xfId="0" applyAlignment="1" applyBorder="1" applyFill="1" applyFont="1" applyNumberFormat="1">
      <alignment horizontal="center" vertical="center"/>
    </xf>
    <xf borderId="0" fillId="0" fontId="26" numFmtId="10" xfId="0" applyAlignment="1" applyFont="1" applyNumberForma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4" fillId="6" fontId="1" numFmtId="10" xfId="0" applyBorder="1" applyFill="1" applyFont="1" applyNumberFormat="1"/>
    <xf borderId="4" fillId="0" fontId="4" numFmtId="167" xfId="0" applyBorder="1" applyFont="1" applyNumberFormat="1"/>
    <xf borderId="5" fillId="0" fontId="19" numFmtId="0" xfId="0" applyAlignment="1" applyBorder="1" applyFont="1">
      <alignment horizontal="center"/>
    </xf>
    <xf borderId="4" fillId="0" fontId="19" numFmtId="0" xfId="0" applyBorder="1" applyFont="1"/>
    <xf borderId="4" fillId="0" fontId="27" numFmtId="0" xfId="0" applyBorder="1" applyFont="1"/>
    <xf borderId="4" fillId="0" fontId="16" numFmtId="0" xfId="0" applyAlignment="1" applyBorder="1" applyFont="1">
      <alignment horizontal="right"/>
    </xf>
    <xf borderId="4" fillId="0" fontId="1" numFmtId="0" xfId="0" applyBorder="1" applyFont="1"/>
    <xf borderId="0" fillId="0" fontId="16" numFmtId="168" xfId="0" applyFont="1" applyNumberFormat="1"/>
    <xf borderId="0" fillId="0" fontId="28" numFmtId="0" xfId="0" applyFont="1"/>
    <xf borderId="7" fillId="13" fontId="19" numFmtId="10" xfId="0" applyBorder="1" applyFill="1" applyFont="1" applyNumberFormat="1"/>
    <xf borderId="0" fillId="0" fontId="16" numFmtId="169" xfId="0" applyFont="1" applyNumberFormat="1"/>
    <xf borderId="4" fillId="0" fontId="29" numFmtId="0" xfId="0" applyBorder="1" applyFont="1"/>
    <xf borderId="4" fillId="0" fontId="16" numFmtId="0" xfId="0" applyBorder="1" applyFont="1"/>
    <xf borderId="0" fillId="0" fontId="30" numFmtId="0" xfId="0" applyAlignment="1" applyFont="1">
      <alignment readingOrder="0"/>
    </xf>
    <xf borderId="4" fillId="0" fontId="4" numFmtId="0" xfId="0" applyBorder="1" applyFont="1"/>
    <xf borderId="4" fillId="0" fontId="16" numFmtId="2" xfId="0" applyAlignment="1" applyBorder="1" applyFont="1" applyNumberFormat="1">
      <alignment horizontal="right"/>
    </xf>
    <xf borderId="0" fillId="0" fontId="16" numFmtId="166" xfId="0" applyFont="1" applyNumberFormat="1"/>
    <xf borderId="0" fillId="0" fontId="8" numFmtId="10" xfId="0" applyFont="1" applyNumberFormat="1"/>
    <xf borderId="0" fillId="0" fontId="8" numFmtId="168" xfId="0" applyFont="1" applyNumberFormat="1"/>
    <xf borderId="7" fillId="13" fontId="31" numFmtId="10" xfId="0" applyBorder="1" applyFill="1" applyFont="1" applyNumberFormat="1"/>
    <xf borderId="0" fillId="0" fontId="8" numFmtId="169" xfId="0" applyFont="1" applyNumberFormat="1"/>
    <xf borderId="0" fillId="0" fontId="16" numFmtId="166" xfId="0" applyAlignment="1" applyFont="1" applyNumberFormat="1">
      <alignment horizontal="right"/>
    </xf>
    <xf borderId="4" fillId="0" fontId="32" numFmtId="0" xfId="0" applyBorder="1" applyFont="1"/>
    <xf borderId="0" fillId="0" fontId="33" numFmtId="0" xfId="0" applyAlignment="1" applyFont="1">
      <alignment horizontal="center"/>
    </xf>
    <xf borderId="0" fillId="0" fontId="34" numFmtId="0" xfId="0" applyFont="1"/>
    <xf borderId="0" fillId="0" fontId="16" numFmtId="3" xfId="0" applyFont="1" applyNumberFormat="1"/>
    <xf borderId="0" fillId="0" fontId="35" numFmtId="0" xfId="0" applyAlignment="1" applyFont="1">
      <alignment readingOrder="0"/>
    </xf>
    <xf borderId="0" fillId="0" fontId="8" numFmtId="166" xfId="0" applyFont="1" applyNumberFormat="1"/>
    <xf borderId="0" fillId="0" fontId="36" numFmtId="0" xfId="0" applyAlignment="1" applyFont="1">
      <alignment shrinkToFit="0" wrapText="1"/>
    </xf>
    <xf borderId="0" fillId="0" fontId="1" numFmtId="166" xfId="0" applyFont="1" applyNumberFormat="1"/>
    <xf borderId="4" fillId="0" fontId="37" numFmtId="0" xfId="0" applyAlignment="1" applyBorder="1" applyFont="1">
      <alignment shrinkToFit="0" wrapText="1"/>
    </xf>
    <xf borderId="0" fillId="0" fontId="1" numFmtId="9" xfId="0" applyFont="1" applyNumberFormat="1"/>
    <xf borderId="4" fillId="0" fontId="3" numFmtId="0" xfId="0" applyBorder="1" applyFont="1"/>
    <xf borderId="5" fillId="0" fontId="3" numFmtId="0" xfId="0" applyAlignment="1" applyBorder="1" applyFont="1">
      <alignment horizontal="center"/>
    </xf>
    <xf borderId="15" fillId="0" fontId="5" numFmtId="0" xfId="0" applyBorder="1" applyFont="1"/>
    <xf borderId="4" fillId="7" fontId="19" numFmtId="2" xfId="0" applyAlignment="1" applyBorder="1" applyFill="1" applyFont="1" applyNumberFormat="1">
      <alignment horizontal="right"/>
    </xf>
    <xf borderId="0" fillId="0" fontId="6" numFmtId="0" xfId="0" applyAlignment="1" applyFont="1">
      <alignment horizontal="center"/>
    </xf>
    <xf borderId="16" fillId="0" fontId="38" numFmtId="0" xfId="0" applyBorder="1" applyFont="1"/>
    <xf borderId="16" fillId="5" fontId="39" numFmtId="0" xfId="0" applyAlignment="1" applyBorder="1" applyFill="1" applyFont="1">
      <alignment horizontal="center"/>
    </xf>
    <xf borderId="4" fillId="8" fontId="19" numFmtId="2" xfId="0" applyBorder="1" applyFill="1" applyFont="1" applyNumberFormat="1"/>
    <xf borderId="0" fillId="0" fontId="4" numFmtId="166" xfId="0" applyFont="1" applyNumberFormat="1"/>
    <xf borderId="16" fillId="6" fontId="40" numFmtId="0" xfId="0" applyAlignment="1" applyBorder="1" applyFill="1" applyFont="1">
      <alignment horizontal="center"/>
    </xf>
    <xf borderId="0" fillId="0" fontId="16" numFmtId="2" xfId="0" applyFont="1" applyNumberFormat="1"/>
    <xf borderId="0" fillId="0" fontId="4" numFmtId="9" xfId="0" applyFont="1" applyNumberFormat="1"/>
    <xf borderId="4" fillId="0" fontId="19" numFmtId="0" xfId="0" applyAlignment="1" applyBorder="1" applyFont="1">
      <alignment horizontal="center"/>
    </xf>
    <xf borderId="4" fillId="0" fontId="41" numFmtId="0" xfId="0" applyAlignment="1" applyBorder="1" applyFont="1">
      <alignment horizontal="center" vertical="center"/>
    </xf>
    <xf borderId="0" fillId="0" fontId="42" numFmtId="0" xfId="0" applyFont="1"/>
    <xf borderId="4" fillId="0" fontId="6" numFmtId="0" xfId="0" applyBorder="1" applyFont="1"/>
    <xf borderId="1" fillId="14" fontId="43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/>
    </xf>
    <xf borderId="13" fillId="0" fontId="1" numFmtId="0" xfId="0" applyBorder="1" applyFont="1"/>
    <xf borderId="4" fillId="0" fontId="16" numFmtId="4" xfId="0" applyBorder="1" applyFont="1" applyNumberFormat="1"/>
    <xf borderId="16" fillId="0" fontId="44" numFmtId="0" xfId="0" applyBorder="1" applyFont="1"/>
    <xf borderId="16" fillId="5" fontId="45" numFmtId="0" xfId="0" applyAlignment="1" applyBorder="1" applyFill="1" applyFont="1">
      <alignment horizontal="center"/>
    </xf>
    <xf borderId="0" fillId="0" fontId="46" numFmtId="168" xfId="0" applyFont="1" applyNumberFormat="1"/>
    <xf borderId="17" fillId="5" fontId="1" numFmtId="166" xfId="0" applyBorder="1" applyFill="1" applyFont="1" applyNumberFormat="1"/>
    <xf borderId="16" fillId="6" fontId="47" numFmtId="0" xfId="0" applyAlignment="1" applyBorder="1" applyFill="1" applyFont="1">
      <alignment horizontal="center"/>
    </xf>
    <xf borderId="4" fillId="0" fontId="48" numFmtId="0" xfId="0" applyAlignment="1" applyBorder="1" applyFont="1">
      <alignment horizontal="center" vertical="center"/>
    </xf>
    <xf borderId="17" fillId="6" fontId="1" numFmtId="166" xfId="0" applyBorder="1" applyFill="1" applyFont="1" applyNumberFormat="1"/>
    <xf borderId="0" fillId="0" fontId="49" numFmtId="0" xfId="0" applyFont="1"/>
    <xf borderId="0" fillId="0" fontId="50" numFmtId="168" xfId="0" applyFont="1" applyNumberFormat="1"/>
    <xf borderId="1" fillId="14" fontId="51" numFmtId="0" xfId="0" applyAlignment="1" applyBorder="1" applyFill="1" applyFont="1">
      <alignment horizontal="center"/>
    </xf>
    <xf borderId="0" fillId="0" fontId="52" numFmtId="4" xfId="0" applyFont="1" applyNumberFormat="1"/>
    <xf borderId="13" fillId="0" fontId="4" numFmtId="0" xfId="0" applyBorder="1" applyFont="1"/>
    <xf borderId="4" fillId="13" fontId="1" numFmtId="10" xfId="0" applyAlignment="1" applyBorder="1" applyFill="1" applyFont="1" applyNumberFormat="1">
      <alignment horizontal="center" vertical="center"/>
    </xf>
    <xf borderId="4" fillId="0" fontId="1" numFmtId="168" xfId="0" applyBorder="1" applyFont="1" applyNumberFormat="1"/>
    <xf borderId="4" fillId="6" fontId="1" numFmtId="9" xfId="0" applyBorder="1" applyFill="1" applyFont="1" applyNumberFormat="1"/>
    <xf borderId="17" fillId="5" fontId="4" numFmtId="166" xfId="0" applyBorder="1" applyFill="1" applyFont="1" applyNumberFormat="1"/>
    <xf borderId="0" fillId="0" fontId="16" numFmtId="0" xfId="0" applyFont="1"/>
    <xf borderId="4" fillId="0" fontId="1" numFmtId="9" xfId="0" applyBorder="1" applyFont="1" applyNumberFormat="1"/>
    <xf borderId="17" fillId="6" fontId="4" numFmtId="166" xfId="0" applyBorder="1" applyFill="1" applyFont="1" applyNumberFormat="1"/>
    <xf borderId="4" fillId="0" fontId="19" numFmtId="4" xfId="0" applyBorder="1" applyFont="1" applyNumberFormat="1"/>
    <xf borderId="0" fillId="0" fontId="53" numFmtId="3" xfId="0" applyFont="1" applyNumberFormat="1"/>
    <xf borderId="4" fillId="13" fontId="4" numFmtId="10" xfId="0" applyAlignment="1" applyBorder="1" applyFill="1" applyFont="1" applyNumberFormat="1">
      <alignment horizontal="center" vertical="center"/>
    </xf>
    <xf borderId="4" fillId="0" fontId="4" numFmtId="9" xfId="0" applyBorder="1" applyFont="1" applyNumberFormat="1"/>
    <xf borderId="4" fillId="8" fontId="19" numFmtId="10" xfId="0" applyBorder="1" applyFill="1" applyFont="1" applyNumberFormat="1"/>
    <xf borderId="4" fillId="0" fontId="54" numFmtId="4" xfId="0" applyBorder="1" applyFont="1" applyNumberFormat="1"/>
    <xf borderId="4" fillId="13" fontId="3" numFmtId="9" xfId="0" applyAlignment="1" applyBorder="1" applyFill="1" applyFont="1" applyNumberFormat="1">
      <alignment horizontal="center" vertical="center"/>
    </xf>
    <xf borderId="4" fillId="8" fontId="19" numFmtId="9" xfId="0" applyBorder="1" applyFill="1" applyFont="1" applyNumberFormat="1"/>
    <xf borderId="4" fillId="15" fontId="1" numFmtId="10" xfId="0" applyBorder="1" applyFill="1" applyFont="1" applyNumberFormat="1"/>
    <xf borderId="4" fillId="0" fontId="16" numFmtId="167" xfId="0" applyBorder="1" applyFont="1" applyNumberFormat="1"/>
    <xf borderId="4" fillId="13" fontId="6" numFmtId="9" xfId="0" applyAlignment="1" applyBorder="1" applyFill="1" applyFont="1" applyNumberFormat="1">
      <alignment horizontal="center" vertical="center"/>
    </xf>
    <xf borderId="4" fillId="5" fontId="1" numFmtId="166" xfId="0" applyBorder="1" applyFill="1" applyFont="1" applyNumberFormat="1"/>
    <xf borderId="4" fillId="5" fontId="4" numFmtId="166" xfId="0" applyBorder="1" applyFill="1" applyFont="1" applyNumberFormat="1"/>
    <xf borderId="4" fillId="6" fontId="1" numFmtId="166" xfId="0" applyBorder="1" applyFill="1" applyFont="1" applyNumberFormat="1"/>
    <xf borderId="4" fillId="7" fontId="19" numFmtId="167" xfId="0" applyBorder="1" applyFill="1" applyFont="1" applyNumberFormat="1"/>
    <xf borderId="0" fillId="0" fontId="16" numFmtId="170" xfId="0" applyFont="1" applyNumberFormat="1"/>
    <xf borderId="4" fillId="6" fontId="4" numFmtId="166" xfId="0" applyBorder="1" applyFill="1" applyFont="1" applyNumberFormat="1"/>
    <xf borderId="4" fillId="7" fontId="19" numFmtId="2" xfId="0" applyBorder="1" applyFill="1" applyFont="1" applyNumberFormat="1"/>
    <xf borderId="0" fillId="0" fontId="16" numFmtId="171" xfId="0" applyFont="1" applyNumberFormat="1"/>
    <xf borderId="4" fillId="0" fontId="6" numFmtId="9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horizontal="left"/>
    </xf>
    <xf borderId="0" fillId="0" fontId="19" numFmtId="0" xfId="0" applyFont="1"/>
    <xf borderId="4" fillId="4" fontId="4" numFmtId="10" xfId="0" applyBorder="1" applyFill="1" applyFont="1" applyNumberFormat="1"/>
    <xf borderId="0" fillId="0" fontId="19" numFmtId="0" xfId="0" applyAlignment="1" applyFont="1">
      <alignment horizontal="center"/>
    </xf>
    <xf borderId="18" fillId="5" fontId="1" numFmtId="166" xfId="0" applyBorder="1" applyFill="1" applyFont="1" applyNumberFormat="1"/>
    <xf borderId="4" fillId="4" fontId="1" numFmtId="10" xfId="0" applyBorder="1" applyFill="1" applyFont="1" applyNumberFormat="1"/>
    <xf borderId="18" fillId="0" fontId="4" numFmtId="0" xfId="0" applyAlignment="1" applyBorder="1" applyFont="1">
      <alignment horizontal="left"/>
    </xf>
    <xf borderId="18" fillId="5" fontId="4" numFmtId="166" xfId="0" applyBorder="1" applyFill="1" applyFont="1" applyNumberFormat="1"/>
    <xf borderId="4" fillId="13" fontId="1" numFmtId="0" xfId="0" applyAlignment="1" applyBorder="1" applyFill="1" applyFont="1">
      <alignment horizontal="center"/>
    </xf>
    <xf borderId="0" fillId="0" fontId="55" numFmtId="0" xfId="0" applyFont="1"/>
    <xf borderId="4" fillId="0" fontId="4" numFmtId="0" xfId="0" applyAlignment="1" applyBorder="1" applyFont="1">
      <alignment horizontal="center"/>
    </xf>
    <xf borderId="0" fillId="0" fontId="56" numFmtId="0" xfId="0" applyFont="1"/>
    <xf borderId="19" fillId="0" fontId="1" numFmtId="0" xfId="0" applyBorder="1" applyFont="1"/>
    <xf borderId="19" fillId="0" fontId="4" numFmtId="0" xfId="0" applyBorder="1" applyFont="1"/>
    <xf borderId="20" fillId="5" fontId="1" numFmtId="166" xfId="0" applyBorder="1" applyFill="1" applyFont="1" applyNumberFormat="1"/>
    <xf borderId="4" fillId="6" fontId="3" numFmtId="166" xfId="0" applyBorder="1" applyFill="1" applyFont="1" applyNumberFormat="1"/>
    <xf borderId="20" fillId="5" fontId="4" numFmtId="166" xfId="0" applyBorder="1" applyFill="1" applyFont="1" applyNumberFormat="1"/>
    <xf borderId="4" fillId="6" fontId="6" numFmtId="166" xfId="0" applyBorder="1" applyFill="1" applyFont="1" applyNumberFormat="1"/>
    <xf borderId="18" fillId="0" fontId="1" numFmtId="0" xfId="0" applyBorder="1" applyFont="1"/>
    <xf borderId="4" fillId="0" fontId="57" numFmtId="166" xfId="0" applyBorder="1" applyFont="1" applyNumberFormat="1"/>
    <xf borderId="18" fillId="6" fontId="1" numFmtId="167" xfId="0" applyBorder="1" applyFill="1" applyFont="1" applyNumberFormat="1"/>
    <xf borderId="18" fillId="0" fontId="4" numFmtId="0" xfId="0" applyBorder="1" applyFont="1"/>
    <xf borderId="10" fillId="6" fontId="4" numFmtId="166" xfId="0" applyBorder="1" applyFill="1" applyFont="1" applyNumberFormat="1"/>
    <xf borderId="10" fillId="6" fontId="1" numFmtId="166" xfId="0" applyBorder="1" applyFill="1" applyFont="1" applyNumberFormat="1"/>
    <xf borderId="0" fillId="0" fontId="4" numFmtId="172" xfId="0" applyFont="1" applyNumberFormat="1"/>
    <xf borderId="18" fillId="0" fontId="1" numFmtId="167" xfId="0" applyBorder="1" applyFont="1" applyNumberFormat="1"/>
    <xf borderId="21" fillId="0" fontId="4" numFmtId="0" xfId="0" applyBorder="1" applyFont="1"/>
    <xf borderId="0" fillId="0" fontId="1" numFmtId="172" xfId="0" applyFont="1" applyNumberFormat="1"/>
    <xf borderId="22" fillId="5" fontId="4" numFmtId="166" xfId="0" applyBorder="1" applyFill="1" applyFont="1" applyNumberFormat="1"/>
    <xf borderId="21" fillId="0" fontId="1" numFmtId="0" xfId="0" applyBorder="1" applyFont="1"/>
    <xf borderId="22" fillId="5" fontId="1" numFmtId="166" xfId="0" applyBorder="1" applyFill="1" applyFont="1" applyNumberFormat="1"/>
    <xf borderId="23" fillId="6" fontId="6" numFmtId="166" xfId="0" applyBorder="1" applyFill="1" applyFont="1" applyNumberFormat="1"/>
    <xf borderId="23" fillId="6" fontId="3" numFmtId="166" xfId="0" applyBorder="1" applyFill="1" applyFont="1" applyNumberFormat="1"/>
    <xf borderId="24" fillId="6" fontId="6" numFmtId="166" xfId="0" applyBorder="1" applyFill="1" applyFont="1" applyNumberFormat="1"/>
    <xf borderId="24" fillId="6" fontId="3" numFmtId="166" xfId="0" applyBorder="1" applyFill="1" applyFont="1" applyNumberFormat="1"/>
    <xf borderId="25" fillId="6" fontId="6" numFmtId="166" xfId="0" applyBorder="1" applyFill="1" applyFont="1" applyNumberFormat="1"/>
    <xf borderId="6" fillId="0" fontId="4" numFmtId="0" xfId="0" applyBorder="1" applyFont="1"/>
    <xf borderId="0" fillId="0" fontId="4" numFmtId="2" xfId="0" applyFont="1" applyNumberFormat="1"/>
    <xf borderId="25" fillId="6" fontId="3" numFmtId="166" xfId="0" applyBorder="1" applyFill="1" applyFont="1" applyNumberFormat="1"/>
    <xf borderId="13" fillId="0" fontId="6" numFmtId="0" xfId="0" applyBorder="1" applyFont="1"/>
    <xf borderId="6" fillId="0" fontId="1" numFmtId="0" xfId="0" applyBorder="1" applyFont="1"/>
    <xf borderId="0" fillId="0" fontId="1" numFmtId="2" xfId="0" applyFont="1" applyNumberFormat="1"/>
    <xf borderId="13" fillId="0" fontId="3" numFmtId="0" xfId="0" applyBorder="1" applyFont="1"/>
    <xf borderId="18" fillId="6" fontId="4" numFmtId="166" xfId="0" applyBorder="1" applyFill="1" applyFont="1" applyNumberFormat="1"/>
    <xf borderId="18" fillId="6" fontId="1" numFmtId="166" xfId="0" applyBorder="1" applyFill="1" applyFont="1" applyNumberFormat="1"/>
    <xf borderId="4" fillId="13" fontId="4" numFmtId="0" xfId="0" applyBorder="1" applyFill="1" applyFont="1"/>
    <xf borderId="4" fillId="13" fontId="1" numFmtId="0" xfId="0" applyBorder="1" applyFill="1" applyFont="1"/>
    <xf borderId="20" fillId="6" fontId="4" numFmtId="166" xfId="0" applyBorder="1" applyFill="1" applyFont="1" applyNumberFormat="1"/>
    <xf borderId="20" fillId="6" fontId="1" numFmtId="166" xfId="0" applyBorder="1" applyFill="1" applyFont="1" applyNumberFormat="1"/>
    <xf borderId="7" fillId="5" fontId="8" numFmtId="0" xfId="0" applyBorder="1" applyFill="1" applyFont="1"/>
    <xf borderId="7" fillId="5" fontId="16" numFmtId="0" xfId="0" applyBorder="1" applyFill="1" applyFont="1"/>
    <xf borderId="18" fillId="6" fontId="6" numFmtId="166" xfId="0" applyBorder="1" applyFill="1" applyFont="1" applyNumberFormat="1"/>
    <xf borderId="18" fillId="6" fontId="3" numFmtId="166" xfId="0" applyBorder="1" applyFill="1" applyFont="1" applyNumberFormat="1"/>
    <xf borderId="5" fillId="0" fontId="4" numFmtId="0" xfId="0" applyBorder="1" applyFont="1"/>
    <xf borderId="26" fillId="14" fontId="4" numFmtId="0" xfId="0" applyBorder="1" applyFill="1" applyFont="1"/>
    <xf borderId="27" fillId="14" fontId="4" numFmtId="1" xfId="0" applyBorder="1" applyFill="1" applyFont="1" applyNumberFormat="1"/>
    <xf borderId="28" fillId="14" fontId="4" numFmtId="1" xfId="0" applyBorder="1" applyFill="1" applyFont="1" applyNumberFormat="1"/>
    <xf borderId="5" fillId="0" fontId="1" numFmtId="0" xfId="0" applyBorder="1" applyFont="1"/>
    <xf borderId="26" fillId="14" fontId="1" numFmtId="0" xfId="0" applyBorder="1" applyFill="1" applyFont="1"/>
    <xf borderId="17" fillId="5" fontId="4" numFmtId="0" xfId="0" applyBorder="1" applyFill="1" applyFont="1"/>
    <xf borderId="27" fillId="14" fontId="1" numFmtId="1" xfId="0" applyBorder="1" applyFill="1" applyFont="1" applyNumberFormat="1"/>
    <xf borderId="28" fillId="14" fontId="1" numFmtId="1" xfId="0" applyBorder="1" applyFill="1" applyFont="1" applyNumberFormat="1"/>
    <xf borderId="17" fillId="5" fontId="1" numFmtId="0" xfId="0" applyBorder="1" applyFill="1" applyFont="1"/>
    <xf borderId="17" fillId="6" fontId="6" numFmtId="166" xfId="0" applyBorder="1" applyFill="1" applyFont="1" applyNumberFormat="1"/>
    <xf borderId="17" fillId="6" fontId="3" numFmtId="166" xfId="0" applyBorder="1" applyFill="1" applyFont="1" applyNumberFormat="1"/>
    <xf borderId="4" fillId="0" fontId="4" numFmtId="0" xfId="0" applyAlignment="1" applyBorder="1" applyFont="1">
      <alignment horizontal="center" shrinkToFit="0" wrapText="1"/>
    </xf>
    <xf borderId="4" fillId="5" fontId="4" numFmtId="0" xfId="0" applyBorder="1" applyFill="1" applyFont="1"/>
    <xf borderId="4" fillId="0" fontId="1" numFmtId="0" xfId="0" applyAlignment="1" applyBorder="1" applyFont="1">
      <alignment horizontal="center" shrinkToFit="0" wrapText="1"/>
    </xf>
    <xf borderId="4" fillId="5" fontId="1" numFmtId="0" xfId="0" applyBorder="1" applyFill="1" applyFont="1"/>
    <xf borderId="4" fillId="16" fontId="6" numFmtId="166" xfId="0" applyBorder="1" applyFill="1" applyFont="1" applyNumberFormat="1"/>
    <xf borderId="10" fillId="13" fontId="6" numFmtId="0" xfId="0" applyBorder="1" applyFill="1" applyFont="1"/>
    <xf borderId="4" fillId="16" fontId="3" numFmtId="166" xfId="0" applyBorder="1" applyFill="1" applyFont="1" applyNumberFormat="1"/>
    <xf borderId="10" fillId="13" fontId="3" numFmtId="0" xfId="0" applyBorder="1" applyFill="1" applyFont="1"/>
    <xf borderId="10" fillId="13" fontId="6" numFmtId="166" xfId="0" applyBorder="1" applyFill="1" applyFont="1" applyNumberFormat="1"/>
    <xf borderId="10" fillId="13" fontId="3" numFmtId="166" xfId="0" applyBorder="1" applyFill="1" applyFont="1" applyNumberFormat="1"/>
    <xf borderId="7" fillId="13" fontId="6" numFmtId="0" xfId="0" applyBorder="1" applyFill="1" applyFont="1"/>
    <xf borderId="29" fillId="15" fontId="1" numFmtId="0" xfId="0" applyBorder="1" applyFill="1" applyFont="1"/>
    <xf borderId="7" fillId="14" fontId="31" numFmtId="0" xfId="0" applyBorder="1" applyFill="1" applyFont="1"/>
    <xf borderId="30" fillId="15" fontId="16" numFmtId="168" xfId="0" applyBorder="1" applyFill="1" applyFont="1" applyNumberFormat="1"/>
    <xf borderId="4" fillId="17" fontId="58" numFmtId="0" xfId="0" applyAlignment="1" applyBorder="1" applyFill="1" applyFont="1">
      <alignment horizontal="center"/>
    </xf>
    <xf borderId="31" fillId="15" fontId="1" numFmtId="166" xfId="0" applyBorder="1" applyFill="1" applyFont="1" applyNumberFormat="1"/>
    <xf borderId="32" fillId="15" fontId="3" numFmtId="166" xfId="0" applyBorder="1" applyFill="1" applyFont="1" applyNumberFormat="1"/>
    <xf borderId="7" fillId="13" fontId="16" numFmtId="0" xfId="0" applyBorder="1" applyFill="1" applyFont="1"/>
    <xf borderId="33" fillId="15" fontId="1" numFmtId="0" xfId="0" applyBorder="1" applyFill="1" applyFont="1"/>
    <xf borderId="7" fillId="14" fontId="19" numFmtId="0" xfId="0" applyBorder="1" applyFill="1" applyFont="1"/>
    <xf borderId="8" fillId="15" fontId="16" numFmtId="166" xfId="0" applyBorder="1" applyFill="1" applyFont="1" applyNumberFormat="1"/>
    <xf borderId="34" fillId="18" fontId="3" numFmtId="166" xfId="0" applyAlignment="1" applyBorder="1" applyFill="1" applyFont="1" applyNumberFormat="1">
      <alignment horizontal="center"/>
    </xf>
    <xf borderId="4" fillId="17" fontId="59" numFmtId="0" xfId="0" applyAlignment="1" applyBorder="1" applyFill="1" applyFont="1">
      <alignment horizontal="center"/>
    </xf>
    <xf borderId="4" fillId="0" fontId="4" numFmtId="0" xfId="0" applyAlignment="1" applyBorder="1" applyFont="1">
      <alignment shrinkToFit="0" wrapText="1"/>
    </xf>
    <xf borderId="35" fillId="15" fontId="1" numFmtId="166" xfId="0" applyBorder="1" applyFill="1" applyFont="1" applyNumberFormat="1"/>
    <xf borderId="4" fillId="0" fontId="1" numFmtId="173" xfId="0" applyBorder="1" applyFont="1" applyNumberFormat="1"/>
    <xf borderId="36" fillId="15" fontId="3" numFmtId="166" xfId="0" applyBorder="1" applyFill="1" applyFont="1" applyNumberFormat="1"/>
    <xf borderId="33" fillId="13" fontId="1" numFmtId="0" xfId="0" applyBorder="1" applyFill="1" applyFont="1"/>
    <xf borderId="8" fillId="13" fontId="1" numFmtId="166" xfId="0" applyBorder="1" applyFill="1" applyFont="1" applyNumberFormat="1"/>
    <xf borderId="4" fillId="0" fontId="1" numFmtId="0" xfId="0" applyAlignment="1" applyBorder="1" applyFont="1">
      <alignment shrinkToFit="0" wrapText="1"/>
    </xf>
    <xf borderId="37" fillId="18" fontId="1" numFmtId="9" xfId="0" applyAlignment="1" applyBorder="1" applyFill="1" applyFont="1" applyNumberFormat="1">
      <alignment horizontal="center"/>
    </xf>
    <xf borderId="38" fillId="0" fontId="60" numFmtId="0" xfId="0" applyAlignment="1" applyBorder="1" applyFont="1">
      <alignment horizontal="center"/>
    </xf>
    <xf borderId="4" fillId="15" fontId="1" numFmtId="166" xfId="0" applyBorder="1" applyFill="1" applyFont="1" applyNumberFormat="1"/>
    <xf borderId="39" fillId="0" fontId="5" numFmtId="0" xfId="0" applyBorder="1" applyFont="1"/>
    <xf borderId="0" fillId="0" fontId="1" numFmtId="174" xfId="0" applyFont="1" applyNumberFormat="1"/>
    <xf borderId="40" fillId="0" fontId="5" numFmtId="0" xfId="0" applyBorder="1" applyFont="1"/>
    <xf borderId="33" fillId="0" fontId="61" numFmtId="0" xfId="0" applyBorder="1" applyFont="1"/>
    <xf borderId="41" fillId="15" fontId="1" numFmtId="0" xfId="0" applyBorder="1" applyFill="1" applyFont="1"/>
    <xf borderId="4" fillId="0" fontId="61" numFmtId="0" xfId="0" applyBorder="1" applyFont="1"/>
    <xf borderId="38" fillId="0" fontId="62" numFmtId="0" xfId="0" applyAlignment="1" applyBorder="1" applyFont="1">
      <alignment horizontal="center"/>
    </xf>
    <xf borderId="42" fillId="0" fontId="61" numFmtId="0" xfId="0" applyBorder="1" applyFont="1"/>
    <xf borderId="18" fillId="15" fontId="1" numFmtId="166" xfId="0" applyBorder="1" applyFill="1" applyFont="1" applyNumberFormat="1"/>
    <xf borderId="33" fillId="19" fontId="61" numFmtId="167" xfId="0" applyAlignment="1" applyBorder="1" applyFill="1" applyFont="1" applyNumberFormat="1">
      <alignment horizontal="center"/>
    </xf>
    <xf borderId="0" fillId="0" fontId="3" numFmtId="0" xfId="0" applyFont="1"/>
    <xf borderId="43" fillId="0" fontId="63" numFmtId="0" xfId="0" applyBorder="1" applyFont="1"/>
    <xf borderId="0" fillId="0" fontId="3" numFmtId="166" xfId="0" applyFont="1" applyNumberFormat="1"/>
    <xf borderId="4" fillId="19" fontId="61" numFmtId="174" xfId="0" applyBorder="1" applyFill="1" applyFont="1" applyNumberFormat="1"/>
    <xf borderId="44" fillId="0" fontId="63" numFmtId="0" xfId="0" applyBorder="1" applyFont="1"/>
    <xf borderId="42" fillId="19" fontId="61" numFmtId="174" xfId="0" applyBorder="1" applyFill="1" applyFont="1" applyNumberFormat="1"/>
    <xf borderId="45" fillId="0" fontId="63" numFmtId="0" xfId="0" applyBorder="1" applyFont="1"/>
    <xf borderId="4" fillId="0" fontId="3" numFmtId="9" xfId="0" applyAlignment="1" applyBorder="1" applyFont="1" applyNumberFormat="1">
      <alignment horizontal="center"/>
    </xf>
    <xf borderId="46" fillId="19" fontId="63" numFmtId="167" xfId="0" applyAlignment="1" applyBorder="1" applyFill="1" applyFont="1" applyNumberFormat="1">
      <alignment horizontal="center"/>
    </xf>
    <xf borderId="47" fillId="19" fontId="63" numFmtId="174" xfId="0" applyBorder="1" applyFill="1" applyFont="1" applyNumberFormat="1"/>
    <xf borderId="33" fillId="8" fontId="61" numFmtId="167" xfId="0" applyAlignment="1" applyBorder="1" applyFill="1" applyFont="1" applyNumberFormat="1">
      <alignment horizontal="center"/>
    </xf>
    <xf borderId="48" fillId="19" fontId="63" numFmtId="174" xfId="0" applyBorder="1" applyFill="1" applyFont="1" applyNumberFormat="1"/>
    <xf borderId="4" fillId="8" fontId="61" numFmtId="174" xfId="0" applyBorder="1" applyFill="1" applyFont="1" applyNumberFormat="1"/>
    <xf borderId="42" fillId="8" fontId="61" numFmtId="174" xfId="0" applyBorder="1" applyFill="1" applyFont="1" applyNumberFormat="1"/>
    <xf borderId="33" fillId="13" fontId="61" numFmtId="167" xfId="0" applyAlignment="1" applyBorder="1" applyFill="1" applyFont="1" applyNumberFormat="1">
      <alignment horizontal="center"/>
    </xf>
    <xf borderId="46" fillId="8" fontId="63" numFmtId="167" xfId="0" applyAlignment="1" applyBorder="1" applyFill="1" applyFont="1" applyNumberFormat="1">
      <alignment horizontal="center"/>
    </xf>
    <xf borderId="47" fillId="8" fontId="63" numFmtId="174" xfId="0" applyBorder="1" applyFill="1" applyFont="1" applyNumberFormat="1"/>
    <xf borderId="48" fillId="8" fontId="63" numFmtId="174" xfId="0" applyBorder="1" applyFill="1" applyFont="1" applyNumberFormat="1"/>
    <xf borderId="46" fillId="13" fontId="63" numFmtId="10" xfId="0" applyAlignment="1" applyBorder="1" applyFill="1" applyFont="1" applyNumberFormat="1">
      <alignment horizontal="center"/>
    </xf>
    <xf borderId="4" fillId="13" fontId="61" numFmtId="174" xfId="0" applyBorder="1" applyFill="1" applyFont="1" applyNumberFormat="1"/>
    <xf borderId="47" fillId="13" fontId="63" numFmtId="174" xfId="0" applyBorder="1" applyFill="1" applyFont="1" applyNumberFormat="1"/>
    <xf borderId="48" fillId="13" fontId="63" numFmtId="174" xfId="0" applyBorder="1" applyFill="1" applyFont="1" applyNumberFormat="1"/>
    <xf borderId="42" fillId="13" fontId="61" numFmtId="174" xfId="0" applyBorder="1" applyFill="1" applyFont="1" applyNumberFormat="1"/>
    <xf borderId="49" fillId="19" fontId="63" numFmtId="167" xfId="0" applyAlignment="1" applyBorder="1" applyFill="1" applyFont="1" applyNumberFormat="1">
      <alignment horizontal="center"/>
    </xf>
    <xf borderId="27" fillId="19" fontId="63" numFmtId="174" xfId="0" applyBorder="1" applyFill="1" applyFont="1" applyNumberFormat="1"/>
    <xf borderId="41" fillId="19" fontId="61" numFmtId="167" xfId="0" applyAlignment="1" applyBorder="1" applyFill="1" applyFont="1" applyNumberFormat="1">
      <alignment horizontal="center"/>
    </xf>
    <xf borderId="18" fillId="19" fontId="61" numFmtId="174" xfId="0" applyBorder="1" applyFill="1" applyFont="1" applyNumberFormat="1"/>
    <xf borderId="50" fillId="19" fontId="61" numFmtId="174" xfId="0" applyBorder="1" applyFill="1" applyFont="1" applyNumberFormat="1"/>
    <xf borderId="0" fillId="0" fontId="61" numFmtId="167" xfId="0" applyAlignment="1" applyFont="1" applyNumberFormat="1">
      <alignment horizontal="center"/>
    </xf>
    <xf borderId="0" fillId="0" fontId="61" numFmtId="166" xfId="0" applyFont="1" applyNumberFormat="1"/>
    <xf borderId="36" fillId="19" fontId="63" numFmtId="174" xfId="0" applyBorder="1" applyFill="1" applyFont="1" applyNumberFormat="1"/>
    <xf borderId="0" fillId="0" fontId="61" numFmtId="10" xfId="0" applyAlignment="1" applyFont="1" applyNumberFormat="1">
      <alignment horizontal="center"/>
    </xf>
    <xf borderId="4" fillId="13" fontId="1" numFmtId="10" xfId="0" applyBorder="1" applyFill="1" applyFont="1" applyNumberFormat="1"/>
    <xf borderId="0" fillId="0" fontId="64" numFmtId="0" xfId="0" applyFont="1"/>
    <xf borderId="0" fillId="0" fontId="65" numFmtId="0" xfId="0" applyAlignment="1" applyFont="1">
      <alignment horizontal="center"/>
    </xf>
    <xf borderId="51" fillId="15" fontId="31" numFmtId="0" xfId="0" applyAlignment="1" applyBorder="1" applyFill="1" applyFont="1">
      <alignment horizontal="center"/>
    </xf>
    <xf borderId="5" fillId="8" fontId="66" numFmtId="0" xfId="0" applyAlignment="1" applyBorder="1" applyFill="1" applyFont="1">
      <alignment horizontal="center"/>
    </xf>
    <xf borderId="52" fillId="0" fontId="5" numFmtId="0" xfId="0" applyBorder="1" applyFont="1"/>
    <xf borderId="53" fillId="0" fontId="5" numFmtId="0" xfId="0" applyBorder="1" applyFont="1"/>
    <xf borderId="4" fillId="0" fontId="67" numFmtId="0" xfId="0" applyBorder="1" applyFont="1"/>
    <xf borderId="7" fillId="6" fontId="31" numFmtId="0" xfId="0" applyAlignment="1" applyBorder="1" applyFill="1" applyFont="1">
      <alignment horizontal="center"/>
    </xf>
    <xf borderId="4" fillId="0" fontId="64" numFmtId="0" xfId="0" applyBorder="1" applyFont="1"/>
    <xf borderId="4" fillId="0" fontId="68" numFmtId="0" xfId="0" applyAlignment="1" applyBorder="1" applyFont="1">
      <alignment horizontal="center"/>
    </xf>
    <xf borderId="7" fillId="6" fontId="16" numFmtId="0" xfId="0" applyBorder="1" applyFill="1" applyFont="1"/>
    <xf borderId="54" fillId="20" fontId="69" numFmtId="0" xfId="0" applyAlignment="1" applyBorder="1" applyFill="1" applyFont="1">
      <alignment horizontal="center"/>
    </xf>
    <xf borderId="0" fillId="0" fontId="70" numFmtId="0" xfId="0" applyAlignment="1" applyFont="1">
      <alignment horizontal="left"/>
    </xf>
    <xf borderId="0" fillId="0" fontId="3" numFmtId="0" xfId="0" applyAlignment="1" applyFont="1">
      <alignment horizontal="center"/>
    </xf>
    <xf borderId="55" fillId="9" fontId="69" numFmtId="0" xfId="0" applyAlignment="1" applyBorder="1" applyFill="1" applyFont="1">
      <alignment horizontal="center"/>
    </xf>
    <xf borderId="7" fillId="6" fontId="3" numFmtId="0" xfId="0" applyAlignment="1" applyBorder="1" applyFill="1" applyFont="1">
      <alignment horizontal="center"/>
    </xf>
    <xf borderId="5" fillId="0" fontId="64" numFmtId="166" xfId="0" applyBorder="1" applyFont="1" applyNumberFormat="1"/>
    <xf borderId="0" fillId="0" fontId="67" numFmtId="0" xfId="0" applyFont="1"/>
    <xf borderId="0" fillId="0" fontId="71" numFmtId="0" xfId="0" applyFont="1"/>
    <xf borderId="7" fillId="6" fontId="1" numFmtId="0" xfId="0" applyBorder="1" applyFill="1" applyFont="1"/>
    <xf borderId="4" fillId="0" fontId="64" numFmtId="166" xfId="0" applyBorder="1" applyFont="1" applyNumberFormat="1"/>
    <xf borderId="13" fillId="0" fontId="72" numFmtId="0" xfId="0" applyAlignment="1" applyBorder="1" applyFont="1">
      <alignment horizontal="center"/>
    </xf>
    <xf borderId="7" fillId="21" fontId="73" numFmtId="0" xfId="0" applyAlignment="1" applyBorder="1" applyFill="1" applyFont="1">
      <alignment horizontal="left"/>
    </xf>
    <xf borderId="47" fillId="20" fontId="69" numFmtId="0" xfId="0" applyAlignment="1" applyBorder="1" applyFill="1" applyFont="1">
      <alignment horizontal="center"/>
    </xf>
    <xf borderId="7" fillId="21" fontId="3" numFmtId="0" xfId="0" applyAlignment="1" applyBorder="1" applyFill="1" applyFont="1">
      <alignment horizontal="left"/>
    </xf>
    <xf borderId="47" fillId="9" fontId="69" numFmtId="0" xfId="0" applyAlignment="1" applyBorder="1" applyFill="1" applyFont="1">
      <alignment horizontal="center"/>
    </xf>
    <xf borderId="7" fillId="21" fontId="3" numFmtId="0" xfId="0" applyAlignment="1" applyBorder="1" applyFill="1" applyFont="1">
      <alignment horizontal="center"/>
    </xf>
    <xf borderId="5" fillId="22" fontId="74" numFmtId="0" xfId="0" applyAlignment="1" applyBorder="1" applyFill="1" applyFont="1">
      <alignment horizontal="center"/>
    </xf>
    <xf borderId="5" fillId="15" fontId="75" numFmtId="166" xfId="0" applyBorder="1" applyFill="1" applyFont="1" applyNumberFormat="1"/>
    <xf borderId="4" fillId="15" fontId="64" numFmtId="166" xfId="0" applyBorder="1" applyFill="1" applyFont="1" applyNumberFormat="1"/>
    <xf borderId="44" fillId="0" fontId="69" numFmtId="0" xfId="0" applyAlignment="1" applyBorder="1" applyFont="1">
      <alignment horizontal="center"/>
    </xf>
    <xf borderId="0" fillId="0" fontId="35" numFmtId="0" xfId="0" applyFont="1"/>
    <xf borderId="0" fillId="0" fontId="35" numFmtId="0" xfId="0" applyAlignment="1" applyFont="1">
      <alignment horizontal="center"/>
    </xf>
    <xf borderId="7" fillId="6" fontId="1" numFmtId="166" xfId="0" applyAlignment="1" applyBorder="1" applyFill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13" fillId="0" fontId="76" numFmtId="0" xfId="0" applyBorder="1" applyFont="1"/>
    <xf borderId="4" fillId="13" fontId="3" numFmtId="0" xfId="0" applyBorder="1" applyFill="1" applyFont="1"/>
    <xf borderId="44" fillId="0" fontId="77" numFmtId="10" xfId="0" applyAlignment="1" applyBorder="1" applyFont="1" applyNumberFormat="1">
      <alignment horizontal="right"/>
    </xf>
    <xf borderId="38" fillId="8" fontId="78" numFmtId="0" xfId="0" applyAlignment="1" applyBorder="1" applyFill="1" applyFont="1">
      <alignment horizontal="center"/>
    </xf>
    <xf borderId="13" fillId="0" fontId="79" numFmtId="0" xfId="0" applyBorder="1" applyFont="1"/>
    <xf borderId="56" fillId="0" fontId="5" numFmtId="0" xfId="0" applyBorder="1" applyFont="1"/>
    <xf borderId="33" fillId="0" fontId="35" numFmtId="0" xfId="0" applyBorder="1" applyFont="1"/>
    <xf borderId="4" fillId="13" fontId="3" numFmtId="166" xfId="0" applyBorder="1" applyFill="1" applyFont="1" applyNumberFormat="1"/>
    <xf borderId="0" fillId="0" fontId="1" numFmtId="2" xfId="0" applyAlignment="1" applyFont="1" applyNumberFormat="1">
      <alignment horizontal="center"/>
    </xf>
    <xf borderId="4" fillId="0" fontId="35" numFmtId="0" xfId="0" applyBorder="1" applyFont="1"/>
    <xf borderId="0" fillId="0" fontId="16" numFmtId="2" xfId="0" applyAlignment="1" applyFont="1" applyNumberFormat="1">
      <alignment horizontal="center"/>
    </xf>
    <xf borderId="44" fillId="0" fontId="79" numFmtId="175" xfId="0" applyAlignment="1" applyBorder="1" applyFont="1" applyNumberFormat="1">
      <alignment horizontal="right"/>
    </xf>
    <xf borderId="4" fillId="0" fontId="35" numFmtId="174" xfId="0" applyBorder="1" applyFont="1" applyNumberFormat="1"/>
    <xf borderId="7" fillId="6" fontId="1" numFmtId="2" xfId="0" applyAlignment="1" applyBorder="1" applyFill="1" applyFont="1" applyNumberFormat="1">
      <alignment horizontal="center"/>
    </xf>
    <xf borderId="57" fillId="15" fontId="1" numFmtId="166" xfId="0" applyBorder="1" applyFill="1" applyFont="1" applyNumberFormat="1"/>
    <xf borderId="7" fillId="6" fontId="1" numFmtId="2" xfId="0" applyAlignment="1" applyBorder="1" applyFill="1" applyFont="1" applyNumberFormat="1">
      <alignment horizontal="right"/>
    </xf>
    <xf borderId="0" fillId="0" fontId="1" numFmtId="2" xfId="0" applyAlignment="1" applyFont="1" applyNumberFormat="1">
      <alignment horizontal="right"/>
    </xf>
    <xf borderId="4" fillId="0" fontId="35" numFmtId="9" xfId="0" applyBorder="1" applyFont="1" applyNumberFormat="1"/>
    <xf borderId="4" fillId="15" fontId="16" numFmtId="166" xfId="0" applyBorder="1" applyFill="1" applyFont="1" applyNumberFormat="1"/>
    <xf borderId="7" fillId="13" fontId="67" numFmtId="9" xfId="0" applyAlignment="1" applyBorder="1" applyFill="1" applyFont="1" applyNumberFormat="1">
      <alignment horizontal="center"/>
    </xf>
    <xf borderId="42" fillId="15" fontId="3" numFmtId="166" xfId="0" applyAlignment="1" applyBorder="1" applyFill="1" applyFont="1" applyNumberFormat="1">
      <alignment horizontal="center"/>
    </xf>
    <xf borderId="7" fillId="6" fontId="16" numFmtId="167" xfId="0" applyBorder="1" applyFill="1" applyFont="1" applyNumberFormat="1"/>
    <xf borderId="19" fillId="0" fontId="76" numFmtId="0" xfId="0" applyBorder="1" applyFont="1"/>
    <xf borderId="58" fillId="0" fontId="77" numFmtId="10" xfId="0" applyAlignment="1" applyBorder="1" applyFont="1" applyNumberFormat="1">
      <alignment horizontal="right"/>
    </xf>
    <xf borderId="17" fillId="15" fontId="69" numFmtId="0" xfId="0" applyBorder="1" applyFill="1" applyFont="1"/>
    <xf borderId="7" fillId="6" fontId="46" numFmtId="166" xfId="0" applyBorder="1" applyFill="1" applyFont="1" applyNumberFormat="1"/>
    <xf borderId="42" fillId="15" fontId="1" numFmtId="10" xfId="0" applyAlignment="1" applyBorder="1" applyFill="1" applyFont="1" applyNumberFormat="1">
      <alignment horizontal="center"/>
    </xf>
    <xf borderId="4" fillId="13" fontId="35" numFmtId="174" xfId="0" applyBorder="1" applyFill="1" applyFont="1" applyNumberFormat="1"/>
    <xf borderId="33" fillId="23" fontId="35" numFmtId="0" xfId="0" applyBorder="1" applyFill="1" applyFont="1"/>
    <xf borderId="42" fillId="15" fontId="1" numFmtId="9" xfId="0" applyBorder="1" applyFill="1" applyFont="1" applyNumberFormat="1"/>
    <xf borderId="4" fillId="0" fontId="76" numFmtId="0" xfId="0" applyBorder="1" applyFont="1"/>
    <xf borderId="4" fillId="23" fontId="35" numFmtId="174" xfId="0" applyBorder="1" applyFill="1" applyFont="1" applyNumberFormat="1"/>
    <xf borderId="4" fillId="0" fontId="67" numFmtId="10" xfId="0" applyBorder="1" applyFont="1" applyNumberFormat="1"/>
    <xf borderId="4" fillId="0" fontId="35" numFmtId="2" xfId="0" applyBorder="1" applyFont="1" applyNumberFormat="1"/>
    <xf borderId="50" fillId="15" fontId="1" numFmtId="166" xfId="0" applyBorder="1" applyFill="1" applyFont="1" applyNumberFormat="1"/>
    <xf borderId="4" fillId="0" fontId="8" numFmtId="2" xfId="0" applyBorder="1" applyFont="1" applyNumberFormat="1"/>
    <xf borderId="4" fillId="0" fontId="64" numFmtId="167" xfId="0" applyBorder="1" applyFont="1" applyNumberFormat="1"/>
    <xf borderId="47" fillId="15" fontId="79" numFmtId="175" xfId="0" applyAlignment="1" applyBorder="1" applyFill="1" applyFont="1" applyNumberFormat="1">
      <alignment horizontal="right"/>
    </xf>
    <xf borderId="4" fillId="0" fontId="8" numFmtId="0" xfId="0" applyBorder="1" applyFont="1"/>
    <xf borderId="4" fillId="0" fontId="8" numFmtId="166" xfId="0" applyBorder="1" applyFont="1" applyNumberFormat="1"/>
    <xf borderId="7" fillId="7" fontId="1" numFmtId="0" xfId="0" applyAlignment="1" applyBorder="1" applyFill="1" applyFont="1">
      <alignment horizontal="left"/>
    </xf>
    <xf borderId="7" fillId="7" fontId="1" numFmtId="166" xfId="0" applyAlignment="1" applyBorder="1" applyFill="1" applyFont="1" applyNumberFormat="1">
      <alignment horizontal="left"/>
    </xf>
    <xf borderId="47" fillId="15" fontId="69" numFmtId="175" xfId="0" applyAlignment="1" applyBorder="1" applyFill="1" applyFont="1" applyNumberFormat="1">
      <alignment horizontal="right"/>
    </xf>
    <xf borderId="4" fillId="0" fontId="35" numFmtId="176" xfId="0" applyBorder="1" applyFont="1" applyNumberFormat="1"/>
    <xf borderId="7" fillId="7" fontId="1" numFmtId="166" xfId="0" applyAlignment="1" applyBorder="1" applyFill="1" applyFont="1" applyNumberFormat="1">
      <alignment horizontal="center"/>
    </xf>
    <xf borderId="4" fillId="0" fontId="16" numFmtId="166" xfId="0" applyBorder="1" applyFont="1" applyNumberFormat="1"/>
    <xf borderId="44" fillId="0" fontId="79" numFmtId="175" xfId="0" applyBorder="1" applyFont="1" applyNumberFormat="1"/>
    <xf borderId="41" fillId="0" fontId="35" numFmtId="0" xfId="0" applyBorder="1" applyFont="1"/>
    <xf borderId="13" fillId="0" fontId="69" numFmtId="0" xfId="0" applyBorder="1" applyFont="1"/>
    <xf borderId="44" fillId="0" fontId="69" numFmtId="175" xfId="0" applyBorder="1" applyFont="1" applyNumberFormat="1"/>
    <xf borderId="7" fillId="7" fontId="1" numFmtId="2" xfId="0" applyAlignment="1" applyBorder="1" applyFill="1" applyFont="1" applyNumberFormat="1">
      <alignment horizontal="center"/>
    </xf>
    <xf borderId="7" fillId="7" fontId="1" numFmtId="0" xfId="0" applyAlignment="1" applyBorder="1" applyFill="1" applyFont="1">
      <alignment horizontal="center"/>
    </xf>
    <xf borderId="18" fillId="0" fontId="35" numFmtId="0" xfId="0" applyBorder="1" applyFont="1"/>
    <xf borderId="44" fillId="0" fontId="69" numFmtId="175" xfId="0" applyAlignment="1" applyBorder="1" applyFont="1" applyNumberFormat="1">
      <alignment horizontal="right"/>
    </xf>
    <xf borderId="7" fillId="7" fontId="1" numFmtId="2" xfId="0" applyAlignment="1" applyBorder="1" applyFill="1" applyFont="1" applyNumberFormat="1">
      <alignment horizontal="right"/>
    </xf>
    <xf borderId="59" fillId="24" fontId="31" numFmtId="0" xfId="0" applyAlignment="1" applyBorder="1" applyFill="1" applyFont="1">
      <alignment horizontal="center"/>
    </xf>
    <xf borderId="60" fillId="0" fontId="5" numFmtId="0" xfId="0" applyBorder="1" applyFont="1"/>
    <xf borderId="7" fillId="7" fontId="16" numFmtId="2" xfId="0" applyBorder="1" applyFill="1" applyFont="1" applyNumberFormat="1"/>
    <xf borderId="18" fillId="24" fontId="31" numFmtId="174" xfId="0" applyBorder="1" applyFill="1" applyFont="1" applyNumberFormat="1"/>
    <xf borderId="7" fillId="6" fontId="3" numFmtId="168" xfId="0" applyAlignment="1" applyBorder="1" applyFill="1" applyFont="1" applyNumberFormat="1">
      <alignment horizontal="center"/>
    </xf>
    <xf borderId="0" fillId="0" fontId="1" numFmtId="177" xfId="0" applyAlignment="1" applyFont="1" applyNumberFormat="1">
      <alignment horizontal="center"/>
    </xf>
    <xf borderId="51" fillId="25" fontId="80" numFmtId="0" xfId="0" applyAlignment="1" applyBorder="1" applyFill="1" applyFont="1">
      <alignment horizontal="center"/>
    </xf>
    <xf borderId="7" fillId="6" fontId="1" numFmtId="177" xfId="0" applyAlignment="1" applyBorder="1" applyFill="1" applyFont="1" applyNumberFormat="1">
      <alignment horizontal="center"/>
    </xf>
    <xf borderId="43" fillId="0" fontId="63" numFmtId="0" xfId="0" applyAlignment="1" applyBorder="1" applyFont="1">
      <alignment horizontal="center"/>
    </xf>
    <xf borderId="44" fillId="0" fontId="63" numFmtId="0" xfId="0" applyAlignment="1" applyBorder="1" applyFont="1">
      <alignment horizontal="center"/>
    </xf>
    <xf borderId="45" fillId="0" fontId="63" numFmtId="0" xfId="0" applyAlignment="1" applyBorder="1" applyFont="1">
      <alignment horizontal="center"/>
    </xf>
    <xf borderId="0" fillId="0" fontId="3" numFmtId="168" xfId="0" applyAlignment="1" applyFont="1" applyNumberFormat="1">
      <alignment horizontal="center"/>
    </xf>
    <xf borderId="7" fillId="0" fontId="1" numFmtId="177" xfId="0" applyAlignment="1" applyBorder="1" applyFont="1" applyNumberFormat="1">
      <alignment horizontal="center"/>
    </xf>
    <xf borderId="7" fillId="0" fontId="3" numFmtId="10" xfId="0" applyAlignment="1" applyBorder="1" applyFont="1" applyNumberFormat="1">
      <alignment horizontal="right"/>
    </xf>
    <xf borderId="0" fillId="0" fontId="3" numFmtId="10" xfId="0" applyAlignment="1" applyFont="1" applyNumberFormat="1">
      <alignment horizontal="right"/>
    </xf>
    <xf borderId="7" fillId="0" fontId="16" numFmtId="167" xfId="0" applyBorder="1" applyFont="1" applyNumberFormat="1"/>
    <xf borderId="4" fillId="0" fontId="77" numFmtId="175" xfId="0" applyBorder="1" applyFont="1" applyNumberFormat="1"/>
    <xf borderId="4" fillId="0" fontId="19" numFmtId="0" xfId="0" applyAlignment="1" applyBorder="1" applyFont="1">
      <alignment shrinkToFit="0" vertical="center" wrapText="1"/>
    </xf>
    <xf borderId="7" fillId="0" fontId="16" numFmtId="0" xfId="0" applyBorder="1" applyFont="1"/>
    <xf borderId="61" fillId="26" fontId="81" numFmtId="0" xfId="0" applyAlignment="1" applyBorder="1" applyFill="1" applyFont="1">
      <alignment horizontal="center" vertical="center"/>
    </xf>
    <xf borderId="4" fillId="0" fontId="16" numFmtId="167" xfId="0" applyAlignment="1" applyBorder="1" applyFont="1" applyNumberFormat="1">
      <alignment vertical="center"/>
    </xf>
    <xf borderId="0" fillId="0" fontId="81" numFmtId="0" xfId="0" applyAlignment="1" applyFont="1">
      <alignment horizontal="center"/>
    </xf>
    <xf borderId="0" fillId="0" fontId="82" numFmtId="0" xfId="0" applyFont="1"/>
    <xf borderId="4" fillId="7" fontId="16" numFmtId="167" xfId="0" applyAlignment="1" applyBorder="1" applyFill="1" applyFont="1" applyNumberFormat="1">
      <alignment vertical="center"/>
    </xf>
    <xf borderId="4" fillId="0" fontId="16" numFmtId="0" xfId="0" applyAlignment="1" applyBorder="1" applyFont="1">
      <alignment vertical="center"/>
    </xf>
    <xf borderId="4" fillId="0" fontId="16" numFmtId="9" xfId="0" applyAlignment="1" applyBorder="1" applyFont="1" applyNumberFormat="1">
      <alignment vertical="center"/>
    </xf>
    <xf borderId="4" fillId="13" fontId="77" numFmtId="175" xfId="0" applyBorder="1" applyFill="1" applyFont="1" applyNumberFormat="1"/>
    <xf borderId="7" fillId="13" fontId="31" numFmtId="166" xfId="0" applyBorder="1" applyFill="1" applyFont="1" applyNumberFormat="1"/>
    <xf borderId="7" fillId="13" fontId="83" numFmtId="166" xfId="0" applyBorder="1" applyFill="1" applyFont="1" applyNumberFormat="1"/>
    <xf borderId="0" fillId="0" fontId="16" numFmtId="0" xfId="0" applyAlignment="1" applyFont="1">
      <alignment vertical="center"/>
    </xf>
    <xf borderId="7" fillId="0" fontId="16" numFmtId="0" xfId="0" applyAlignment="1" applyBorder="1" applyFont="1">
      <alignment vertical="center"/>
    </xf>
    <xf borderId="4" fillId="27" fontId="19" numFmtId="0" xfId="0" applyAlignment="1" applyBorder="1" applyFill="1" applyFont="1">
      <alignment vertical="center"/>
    </xf>
    <xf borderId="10" fillId="27" fontId="16" numFmtId="178" xfId="0" applyAlignment="1" applyBorder="1" applyFill="1" applyFont="1" applyNumberFormat="1">
      <alignment vertical="center"/>
    </xf>
    <xf borderId="58" fillId="0" fontId="19" numFmtId="0" xfId="0" applyAlignment="1" applyBorder="1" applyFont="1">
      <alignment horizontal="right" vertical="center"/>
    </xf>
    <xf borderId="62" fillId="13" fontId="19" numFmtId="0" xfId="0" applyAlignment="1" applyBorder="1" applyFill="1" applyFont="1">
      <alignment horizontal="center"/>
    </xf>
    <xf borderId="63" fillId="0" fontId="5" numFmtId="0" xfId="0" applyBorder="1" applyFont="1"/>
    <xf borderId="5" fillId="28" fontId="84" numFmtId="0" xfId="0" applyAlignment="1" applyBorder="1" applyFill="1" applyFont="1">
      <alignment horizontal="center"/>
    </xf>
    <xf borderId="32" fillId="13" fontId="19" numFmtId="179" xfId="0" applyBorder="1" applyFill="1" applyFont="1" applyNumberFormat="1"/>
    <xf borderId="64" fillId="13" fontId="19" numFmtId="0" xfId="0" applyAlignment="1" applyBorder="1" applyFill="1" applyFont="1">
      <alignment horizontal="center"/>
    </xf>
    <xf borderId="65" fillId="13" fontId="19" numFmtId="180" xfId="0" applyBorder="1" applyFill="1" applyFont="1" applyNumberFormat="1"/>
    <xf borderId="7" fillId="0" fontId="16" numFmtId="178" xfId="0" applyBorder="1" applyFont="1" applyNumberFormat="1"/>
    <xf borderId="47" fillId="6" fontId="69" numFmtId="175" xfId="0" applyAlignment="1" applyBorder="1" applyFill="1" applyFont="1" applyNumberFormat="1">
      <alignment horizontal="right"/>
    </xf>
    <xf borderId="17" fillId="13" fontId="69" numFmtId="0" xfId="0" applyBorder="1" applyFill="1" applyFont="1"/>
    <xf borderId="65" fillId="13" fontId="19" numFmtId="181" xfId="0" applyBorder="1" applyFill="1" applyFont="1" applyNumberFormat="1"/>
    <xf borderId="66" fillId="13" fontId="19" numFmtId="0" xfId="0" applyAlignment="1" applyBorder="1" applyFill="1" applyFont="1">
      <alignment horizontal="center"/>
    </xf>
    <xf borderId="67" fillId="0" fontId="5" numFmtId="0" xfId="0" applyBorder="1" applyFont="1"/>
    <xf borderId="47" fillId="13" fontId="69" numFmtId="178" xfId="0" applyAlignment="1" applyBorder="1" applyFill="1" applyFont="1" applyNumberFormat="1">
      <alignment horizontal="right"/>
    </xf>
    <xf borderId="36" fillId="13" fontId="19" numFmtId="182" xfId="0" applyBorder="1" applyFill="1" applyFont="1" applyNumberFormat="1"/>
    <xf borderId="0" fillId="0" fontId="77" numFmtId="0" xfId="0" applyFont="1"/>
    <xf borderId="4" fillId="0" fontId="77" numFmtId="166" xfId="0" applyBorder="1" applyFont="1" applyNumberFormat="1"/>
    <xf borderId="4" fillId="0" fontId="77" numFmtId="168" xfId="0" applyBorder="1" applyFont="1" applyNumberFormat="1"/>
    <xf borderId="4" fillId="0" fontId="85" numFmtId="0" xfId="0" applyBorder="1" applyFont="1"/>
    <xf borderId="5" fillId="0" fontId="76" numFmtId="175" xfId="0" applyAlignment="1" applyBorder="1" applyFont="1" applyNumberFormat="1">
      <alignment horizontal="center"/>
    </xf>
    <xf borderId="7" fillId="29" fontId="86" numFmtId="0" xfId="0" applyAlignment="1" applyBorder="1" applyFill="1" applyFont="1">
      <alignment vertical="center"/>
    </xf>
    <xf borderId="7" fillId="30" fontId="87" numFmtId="0" xfId="0" applyAlignment="1" applyBorder="1" applyFill="1" applyFont="1">
      <alignment horizontal="center"/>
    </xf>
    <xf borderId="7" fillId="30" fontId="87" numFmtId="14" xfId="0" applyAlignment="1" applyBorder="1" applyFill="1" applyFont="1" applyNumberFormat="1">
      <alignment horizontal="center"/>
    </xf>
    <xf borderId="7" fillId="8" fontId="16" numFmtId="0" xfId="0" applyAlignment="1" applyBorder="1" applyFill="1" applyFont="1">
      <alignment vertical="center"/>
    </xf>
    <xf borderId="0" fillId="0" fontId="16" numFmtId="0" xfId="0" applyAlignment="1" applyFont="1">
      <alignment horizontal="right"/>
    </xf>
    <xf borderId="0" fillId="0" fontId="86" numFmtId="0" xfId="0" applyFont="1"/>
    <xf borderId="0" fillId="0" fontId="86" numFmtId="4" xfId="0" applyFont="1" applyNumberFormat="1"/>
    <xf borderId="7" fillId="31" fontId="19" numFmtId="0" xfId="0" applyBorder="1" applyFill="1" applyFont="1"/>
    <xf borderId="0" fillId="0" fontId="19" numFmtId="4" xfId="0" applyFont="1" applyNumberFormat="1"/>
    <xf borderId="0" fillId="0" fontId="16" numFmtId="9" xfId="0" applyFont="1" applyNumberFormat="1"/>
    <xf borderId="7" fillId="31" fontId="86" numFmtId="0" xfId="0" applyBorder="1" applyFill="1" applyFont="1"/>
    <xf borderId="7" fillId="8" fontId="16" numFmtId="0" xfId="0" applyBorder="1" applyFill="1" applyFont="1"/>
    <xf borderId="7" fillId="21" fontId="54" numFmtId="0" xfId="0" applyBorder="1" applyFill="1" applyFont="1"/>
    <xf borderId="7" fillId="8" fontId="16" numFmtId="4" xfId="0" applyBorder="1" applyFill="1" applyFont="1" applyNumberFormat="1"/>
    <xf borderId="7" fillId="21" fontId="86" numFmtId="4" xfId="0" applyBorder="1" applyFill="1" applyFont="1" applyNumberFormat="1"/>
    <xf borderId="7" fillId="8" fontId="16" numFmtId="2" xfId="0" applyBorder="1" applyFill="1" applyFont="1" applyNumberFormat="1"/>
    <xf borderId="7" fillId="8" fontId="16" numFmtId="168" xfId="0" applyBorder="1" applyFill="1" applyFont="1" applyNumberFormat="1"/>
    <xf borderId="29" fillId="30" fontId="87" numFmtId="0" xfId="0" applyAlignment="1" applyBorder="1" applyFill="1" applyFont="1">
      <alignment horizontal="center"/>
    </xf>
    <xf borderId="68" fillId="30" fontId="87" numFmtId="0" xfId="0" applyAlignment="1" applyBorder="1" applyFill="1" applyFont="1">
      <alignment horizontal="center"/>
    </xf>
    <xf borderId="43" fillId="0" fontId="86" numFmtId="4" xfId="0" applyBorder="1" applyFont="1" applyNumberFormat="1"/>
    <xf borderId="7" fillId="8" fontId="19" numFmtId="168" xfId="0" applyBorder="1" applyFill="1" applyFont="1" applyNumberFormat="1"/>
    <xf borderId="46" fillId="21" fontId="88" numFmtId="0" xfId="0" applyAlignment="1" applyBorder="1" applyFill="1" applyFont="1">
      <alignment horizontal="right"/>
    </xf>
    <xf borderId="48" fillId="21" fontId="89" numFmtId="0" xfId="0" applyAlignment="1" applyBorder="1" applyFill="1" applyFont="1">
      <alignment horizontal="right"/>
    </xf>
    <xf borderId="43" fillId="0" fontId="90" numFmtId="183" xfId="0" applyBorder="1" applyFont="1" applyNumberFormat="1"/>
    <xf borderId="45" fillId="0" fontId="90" numFmtId="183" xfId="0" applyBorder="1" applyFont="1" applyNumberFormat="1"/>
    <xf borderId="7" fillId="8" fontId="16" numFmtId="167" xfId="0" applyBorder="1" applyFill="1" applyFont="1" applyNumberFormat="1"/>
    <xf borderId="7" fillId="8" fontId="19" numFmtId="167" xfId="0" applyBorder="1" applyFill="1" applyFont="1" applyNumberFormat="1"/>
    <xf borderId="69" fillId="21" fontId="91" numFmtId="0" xfId="0" applyAlignment="1" applyBorder="1" applyFill="1" applyFont="1">
      <alignment horizontal="center"/>
    </xf>
    <xf borderId="70" fillId="0" fontId="5" numFmtId="0" xfId="0" applyBorder="1" applyFont="1"/>
    <xf borderId="71" fillId="29" fontId="90" numFmtId="10" xfId="0" applyBorder="1" applyFill="1" applyFont="1" applyNumberFormat="1"/>
    <xf borderId="65" fillId="29" fontId="90" numFmtId="10" xfId="0" applyBorder="1" applyFill="1" applyFont="1" applyNumberFormat="1"/>
    <xf borderId="7" fillId="13" fontId="19" numFmtId="9" xfId="0" applyBorder="1" applyFill="1" applyFont="1" applyNumberFormat="1"/>
    <xf borderId="72" fillId="21" fontId="54" numFmtId="0" xfId="0" applyBorder="1" applyFill="1" applyFont="1"/>
    <xf borderId="7" fillId="8" fontId="19" numFmtId="0" xfId="0" applyBorder="1" applyFill="1" applyFont="1"/>
    <xf borderId="7" fillId="8" fontId="16" numFmtId="9" xfId="0" applyBorder="1" applyFill="1" applyFont="1" applyNumberFormat="1"/>
    <xf borderId="73" fillId="13" fontId="54" numFmtId="10" xfId="0" applyBorder="1" applyFill="1" applyFont="1" applyNumberFormat="1"/>
    <xf borderId="7" fillId="13" fontId="19" numFmtId="167" xfId="0" applyBorder="1" applyFill="1" applyFont="1" applyNumberFormat="1"/>
    <xf borderId="0" fillId="0" fontId="86" numFmtId="184" xfId="0" applyFont="1" applyNumberFormat="1"/>
    <xf borderId="0" fillId="0" fontId="16" numFmtId="1" xfId="0" applyFont="1" applyNumberFormat="1"/>
    <xf borderId="7" fillId="13" fontId="16" numFmtId="4" xfId="0" applyBorder="1" applyFill="1" applyFont="1" applyNumberFormat="1"/>
    <xf borderId="7" fillId="13" fontId="16" numFmtId="10" xfId="0" applyBorder="1" applyFill="1" applyFont="1" applyNumberFormat="1"/>
    <xf borderId="7" fillId="6" fontId="16" numFmtId="10" xfId="0" applyBorder="1" applyFill="1" applyFont="1" applyNumberFormat="1"/>
    <xf borderId="0" fillId="0" fontId="19" numFmtId="166" xfId="0" applyFont="1" applyNumberFormat="1"/>
    <xf borderId="57" fillId="30" fontId="87" numFmtId="0" xfId="0" applyAlignment="1" applyBorder="1" applyFill="1" applyFont="1">
      <alignment horizontal="center"/>
    </xf>
    <xf borderId="0" fillId="0" fontId="19" numFmtId="9" xfId="0" applyFont="1" applyNumberFormat="1"/>
    <xf borderId="33" fillId="0" fontId="16" numFmtId="4" xfId="0" applyBorder="1" applyFont="1" applyNumberFormat="1"/>
    <xf borderId="42" fillId="0" fontId="16" numFmtId="4" xfId="0" applyBorder="1" applyFont="1" applyNumberFormat="1"/>
    <xf borderId="33" fillId="21" fontId="92" numFmtId="0" xfId="0" applyAlignment="1" applyBorder="1" applyFill="1" applyFont="1">
      <alignment horizontal="right"/>
    </xf>
    <xf borderId="42" fillId="21" fontId="93" numFmtId="0" xfId="0" applyAlignment="1" applyBorder="1" applyFill="1" applyFont="1">
      <alignment horizontal="right"/>
    </xf>
    <xf borderId="33" fillId="0" fontId="90" numFmtId="183" xfId="0" applyBorder="1" applyFont="1" applyNumberFormat="1"/>
    <xf borderId="42" fillId="0" fontId="90" numFmtId="183" xfId="0" applyBorder="1" applyFont="1" applyNumberFormat="1"/>
    <xf borderId="0" fillId="0" fontId="16" numFmtId="4" xfId="0" applyAlignment="1" applyFont="1" applyNumberFormat="1">
      <alignment horizontal="right"/>
    </xf>
    <xf borderId="74" fillId="29" fontId="90" numFmtId="10" xfId="0" applyBorder="1" applyFill="1" applyFont="1" applyNumberFormat="1"/>
    <xf borderId="75" fillId="29" fontId="90" numFmtId="10" xfId="0" applyBorder="1" applyFill="1" applyFont="1" applyNumberFormat="1"/>
    <xf borderId="72" fillId="21" fontId="19" numFmtId="0" xfId="0" applyBorder="1" applyFill="1" applyFont="1"/>
    <xf borderId="73" fillId="13" fontId="19" numFmtId="10" xfId="0" applyBorder="1" applyFill="1" applyFont="1" applyNumberFormat="1"/>
    <xf borderId="0" fillId="0" fontId="19" numFmtId="10" xfId="0" applyFont="1" applyNumberFormat="1"/>
    <xf borderId="0" fillId="0" fontId="16" numFmtId="4" xfId="0" applyAlignment="1" applyFont="1" applyNumberFormat="1">
      <alignment horizontal="center"/>
    </xf>
    <xf borderId="7" fillId="6" fontId="19" numFmtId="0" xfId="0" applyBorder="1" applyFill="1" applyFont="1"/>
    <xf borderId="7" fillId="13" fontId="16" numFmtId="9" xfId="0" applyBorder="1" applyFill="1" applyFont="1" applyNumberFormat="1"/>
    <xf borderId="0" fillId="0" fontId="54" numFmtId="166" xfId="0" applyFont="1" applyNumberFormat="1"/>
    <xf borderId="0" fillId="0" fontId="22" numFmtId="0" xfId="0" applyFont="1"/>
    <xf borderId="0" fillId="0" fontId="22" numFmtId="2" xfId="0" applyFont="1" applyNumberFormat="1"/>
    <xf borderId="0" fillId="0" fontId="94" numFmtId="0" xfId="0" applyFont="1"/>
    <xf borderId="7" fillId="13" fontId="94" numFmtId="0" xfId="0" applyBorder="1" applyFill="1" applyFont="1"/>
    <xf borderId="0" fillId="0" fontId="94" numFmtId="10" xfId="0" applyFont="1" applyNumberFormat="1"/>
    <xf borderId="7" fillId="13" fontId="94" numFmtId="2" xfId="0" applyBorder="1" applyFill="1" applyFont="1" applyNumberFormat="1"/>
    <xf borderId="7" fillId="22" fontId="19" numFmtId="0" xfId="0" applyBorder="1" applyFill="1" applyFont="1"/>
    <xf borderId="0" fillId="0" fontId="95" numFmtId="0" xfId="0" applyFont="1"/>
    <xf borderId="0" fillId="0" fontId="96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400050</xdr:colOff>
      <xdr:row>50</xdr:row>
      <xdr:rowOff>114300</xdr:rowOff>
    </xdr:from>
    <xdr:ext cx="8582025" cy="1924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63</xdr:row>
      <xdr:rowOff>152400</xdr:rowOff>
    </xdr:from>
    <xdr:ext cx="8696325" cy="3400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box.com/ASX:WOW/explorer/beta/" TargetMode="External"/><Relationship Id="rId2" Type="http://schemas.openxmlformats.org/officeDocument/2006/relationships/hyperlink" Target="https://www.reuters.com/markets/companies/WOW.AX/key-metrics/price-and-volum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rrons.com/market-data/stocks/bga?countrycode=au" TargetMode="External"/><Relationship Id="rId2" Type="http://schemas.openxmlformats.org/officeDocument/2006/relationships/hyperlink" Target="https://finbox.com/ASX:BGA/models/wacc/" TargetMode="Externa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/>
  </sheetViews>
  <sheetFormatPr customHeight="1" defaultColWidth="11.22" defaultRowHeight="15.0"/>
  <cols>
    <col customWidth="1" min="1" max="1" width="49.44"/>
    <col customWidth="1" min="2" max="2" width="40.44"/>
    <col customWidth="1" min="3" max="3" width="22.0"/>
    <col customWidth="1" min="4" max="4" width="11.44"/>
    <col customWidth="1" min="5" max="5" width="52.11"/>
    <col customWidth="1" min="6" max="6" width="22.33"/>
    <col customWidth="1" min="7" max="7" width="23.33"/>
    <col customWidth="1" min="8" max="8" width="15.44"/>
    <col customWidth="1" min="9" max="26" width="11.44"/>
  </cols>
  <sheetData>
    <row r="1" ht="15.75" customHeight="1">
      <c r="A1" s="2" t="s">
        <v>0</v>
      </c>
      <c r="B1" s="6"/>
      <c r="E1" s="9" t="s">
        <v>2</v>
      </c>
      <c r="F1" s="6"/>
    </row>
    <row r="2" ht="15.75" customHeight="1">
      <c r="A2" s="13" t="s">
        <v>3</v>
      </c>
      <c r="B2" s="16"/>
      <c r="E2" s="13" t="s">
        <v>3</v>
      </c>
      <c r="F2" s="16"/>
    </row>
    <row r="3" ht="15.75" customHeight="1">
      <c r="A3" s="19" t="s">
        <v>5</v>
      </c>
      <c r="B3" s="16"/>
      <c r="E3" s="19" t="s">
        <v>11</v>
      </c>
      <c r="F3" s="16"/>
    </row>
    <row r="4" ht="28.5" customHeight="1">
      <c r="A4" s="24" t="s">
        <v>12</v>
      </c>
      <c r="B4" s="26">
        <v>0.0442</v>
      </c>
      <c r="C4" s="27" t="s">
        <v>13</v>
      </c>
      <c r="E4" s="24" t="s">
        <v>14</v>
      </c>
      <c r="F4" s="26">
        <f>B4</f>
        <v>0.0442</v>
      </c>
    </row>
    <row r="5" ht="40.5" customHeight="1">
      <c r="A5" s="24" t="s">
        <v>15</v>
      </c>
      <c r="B5" s="30">
        <f>B33</f>
        <v>0.05159494755</v>
      </c>
      <c r="C5" s="31"/>
      <c r="E5" s="24" t="s">
        <v>16</v>
      </c>
      <c r="F5" s="34">
        <f>F30</f>
        <v>0.04761255116</v>
      </c>
      <c r="G5" s="35"/>
      <c r="H5" s="35"/>
      <c r="I5" s="35"/>
      <c r="J5" s="35"/>
    </row>
    <row r="6" ht="40.5" customHeight="1">
      <c r="A6" s="24" t="s">
        <v>17</v>
      </c>
      <c r="B6" s="38">
        <f>B7+B4</f>
        <v>0.0902</v>
      </c>
      <c r="E6" s="24" t="s">
        <v>18</v>
      </c>
      <c r="F6" s="40">
        <f t="shared" ref="F6:F7" si="1">B6</f>
        <v>0.0902</v>
      </c>
      <c r="G6" s="41"/>
      <c r="H6" s="35"/>
      <c r="I6" s="35"/>
      <c r="J6" s="35"/>
      <c r="K6" s="35"/>
    </row>
    <row r="7" ht="48.0" customHeight="1">
      <c r="A7" s="24" t="s">
        <v>20</v>
      </c>
      <c r="B7" s="26">
        <v>0.046</v>
      </c>
      <c r="C7" s="42"/>
      <c r="E7" s="24" t="s">
        <v>21</v>
      </c>
      <c r="F7" s="26">
        <f t="shared" si="1"/>
        <v>0.046</v>
      </c>
      <c r="G7" s="41"/>
      <c r="H7" s="35"/>
      <c r="I7" s="35"/>
      <c r="J7" s="35"/>
      <c r="K7" s="35"/>
    </row>
    <row r="8" ht="42.0" customHeight="1">
      <c r="A8" s="24" t="s">
        <v>22</v>
      </c>
      <c r="B8" s="43">
        <f>1-B9</f>
        <v>0.6824177318</v>
      </c>
      <c r="E8" s="24" t="s">
        <v>23</v>
      </c>
      <c r="F8" s="44">
        <f>F32</f>
        <v>0.3093050648</v>
      </c>
      <c r="G8" s="45"/>
      <c r="H8" s="35"/>
      <c r="I8" s="35"/>
      <c r="J8" s="35"/>
      <c r="K8" s="35"/>
    </row>
    <row r="9" ht="46.5" customHeight="1">
      <c r="A9" s="46" t="s">
        <v>24</v>
      </c>
      <c r="B9" s="48">
        <f>B34</f>
        <v>0.3175822682</v>
      </c>
      <c r="E9" s="46" t="s">
        <v>24</v>
      </c>
      <c r="F9" s="50">
        <f>F31</f>
        <v>0.6906949352</v>
      </c>
      <c r="G9" s="45"/>
      <c r="H9" s="35"/>
      <c r="I9" s="35"/>
      <c r="J9" s="35"/>
      <c r="K9" s="35"/>
    </row>
    <row r="10" ht="45.0" customHeight="1">
      <c r="A10" s="24" t="s">
        <v>26</v>
      </c>
      <c r="B10" s="51">
        <f>B23</f>
        <v>0.49975</v>
      </c>
      <c r="E10" s="24" t="s">
        <v>27</v>
      </c>
      <c r="F10" s="52">
        <f>F23</f>
        <v>0.4275</v>
      </c>
      <c r="G10" s="45"/>
      <c r="H10" s="35"/>
      <c r="I10" s="35"/>
      <c r="J10" s="35"/>
      <c r="K10" s="35"/>
    </row>
    <row r="11" ht="45.75" customHeight="1">
      <c r="A11" s="24" t="s">
        <v>28</v>
      </c>
      <c r="B11" s="44">
        <v>0.3</v>
      </c>
      <c r="C11" s="53" t="s">
        <v>29</v>
      </c>
      <c r="E11" s="24" t="s">
        <v>30</v>
      </c>
      <c r="F11" s="44">
        <v>0.3</v>
      </c>
      <c r="G11" s="35"/>
      <c r="H11" s="35"/>
      <c r="I11" s="35"/>
      <c r="J11" s="35"/>
      <c r="K11" s="35"/>
    </row>
    <row r="12" ht="64.5" customHeight="1">
      <c r="A12" s="56" t="s">
        <v>31</v>
      </c>
      <c r="B12" s="57">
        <f>B4+((B10)*(B6-B4))</f>
        <v>0.0671885</v>
      </c>
      <c r="E12" s="56" t="s">
        <v>32</v>
      </c>
      <c r="F12" s="59">
        <f>F4+(F10*F7)</f>
        <v>0.063865</v>
      </c>
      <c r="G12" s="60"/>
    </row>
    <row r="13" ht="15.0" customHeight="1">
      <c r="A13" s="61" t="s">
        <v>34</v>
      </c>
      <c r="B13" s="64">
        <f>(B8*B12)+((B9*B5)*(1-B11))</f>
        <v>0.0573205721</v>
      </c>
      <c r="E13" s="61" t="s">
        <v>34</v>
      </c>
      <c r="F13" s="65">
        <f>(F12*F8)+((F9*F5)*(1-F11))</f>
        <v>0.04277379152</v>
      </c>
      <c r="G13" s="66"/>
    </row>
    <row r="14" ht="37.5" customHeight="1">
      <c r="A14" s="67"/>
      <c r="B14" s="67"/>
      <c r="E14" s="67"/>
      <c r="F14" s="68"/>
    </row>
    <row r="15" ht="15.75" customHeight="1">
      <c r="B15" s="42"/>
      <c r="F15" s="42"/>
    </row>
    <row r="16" ht="15.75" customHeight="1"/>
    <row r="17" ht="15.75" customHeight="1">
      <c r="A17" s="71" t="s">
        <v>37</v>
      </c>
      <c r="B17" s="16"/>
      <c r="E17" s="71" t="s">
        <v>38</v>
      </c>
      <c r="F17" s="16"/>
    </row>
    <row r="18" ht="15.75" customHeight="1">
      <c r="A18" s="72" t="s">
        <v>39</v>
      </c>
      <c r="B18" s="72" t="s">
        <v>40</v>
      </c>
      <c r="E18" s="72" t="s">
        <v>39</v>
      </c>
      <c r="F18" s="72" t="s">
        <v>40</v>
      </c>
    </row>
    <row r="19" ht="15.75" customHeight="1">
      <c r="A19" s="73" t="s">
        <v>41</v>
      </c>
      <c r="B19" s="74">
        <v>0.519</v>
      </c>
      <c r="E19" s="80" t="s">
        <v>42</v>
      </c>
      <c r="F19" s="81">
        <v>0.27</v>
      </c>
    </row>
    <row r="20" ht="15.75" customHeight="1">
      <c r="A20" s="73" t="s">
        <v>47</v>
      </c>
      <c r="B20" s="74">
        <v>0.52</v>
      </c>
      <c r="E20" s="73" t="s">
        <v>48</v>
      </c>
      <c r="F20" s="81">
        <v>0.27</v>
      </c>
    </row>
    <row r="21" ht="15.75" customHeight="1">
      <c r="A21" s="80" t="s">
        <v>49</v>
      </c>
      <c r="B21" s="84">
        <v>0.53</v>
      </c>
      <c r="E21" s="91" t="s">
        <v>50</v>
      </c>
      <c r="F21" s="81">
        <v>0.55</v>
      </c>
      <c r="G21" s="76"/>
      <c r="H21" s="94"/>
    </row>
    <row r="22" ht="30.75" customHeight="1">
      <c r="A22" s="97" t="s">
        <v>54</v>
      </c>
      <c r="B22" s="74">
        <v>0.43</v>
      </c>
      <c r="E22" s="99" t="s">
        <v>55</v>
      </c>
      <c r="F22" s="81">
        <v>0.62</v>
      </c>
      <c r="G22" s="94"/>
      <c r="H22" s="94"/>
    </row>
    <row r="23" ht="33.0" customHeight="1">
      <c r="A23" s="81" t="s">
        <v>56</v>
      </c>
      <c r="B23" s="104">
        <f>AVERAGE(B19:B22)</f>
        <v>0.49975</v>
      </c>
      <c r="E23" s="81" t="s">
        <v>56</v>
      </c>
      <c r="F23" s="108">
        <f>AVERAGE(F19:F22)</f>
        <v>0.4275</v>
      </c>
      <c r="G23" s="76"/>
    </row>
    <row r="24" ht="18.75" customHeight="1">
      <c r="C24" s="111"/>
    </row>
    <row r="25" ht="15.75" customHeight="1"/>
    <row r="26" ht="15.75" customHeight="1">
      <c r="A26" s="113" t="s">
        <v>60</v>
      </c>
      <c r="B26" s="113"/>
      <c r="E26" s="113" t="s">
        <v>62</v>
      </c>
      <c r="F26" s="113"/>
      <c r="G26" s="77" t="s">
        <v>63</v>
      </c>
    </row>
    <row r="27" ht="15.75" customHeight="1">
      <c r="A27" s="81" t="s">
        <v>64</v>
      </c>
      <c r="B27" s="120">
        <f>'Income Statement '!F18 *-1</f>
        <v>24100000</v>
      </c>
      <c r="E27" s="81" t="s">
        <v>64</v>
      </c>
      <c r="F27" s="123">
        <f>698000000</f>
        <v>698000000</v>
      </c>
    </row>
    <row r="28" ht="15.75" customHeight="1">
      <c r="A28" s="81" t="s">
        <v>66</v>
      </c>
      <c r="B28" s="120">
        <f>'Balance Sheet '!F22</f>
        <v>17200000</v>
      </c>
      <c r="E28" s="81" t="s">
        <v>67</v>
      </c>
      <c r="F28" s="129">
        <v>1.466E10</v>
      </c>
      <c r="G28" s="131"/>
    </row>
    <row r="29" ht="15.75" customHeight="1">
      <c r="A29" s="81" t="s">
        <v>68</v>
      </c>
      <c r="B29" s="120">
        <f>'Balance Sheet '!F28</f>
        <v>449900000</v>
      </c>
      <c r="E29" s="81" t="s">
        <v>70</v>
      </c>
      <c r="F29" s="134">
        <v>6.565E9</v>
      </c>
      <c r="G29" s="137"/>
    </row>
    <row r="30" ht="15.75" customHeight="1">
      <c r="A30" s="81" t="s">
        <v>74</v>
      </c>
      <c r="B30" s="140">
        <f>SUM(B28:B29)</f>
        <v>467100000</v>
      </c>
      <c r="C30" s="141"/>
      <c r="E30" s="81" t="s">
        <v>76</v>
      </c>
      <c r="F30" s="144">
        <f>F27/F28</f>
        <v>0.04761255116</v>
      </c>
      <c r="G30" s="141"/>
    </row>
    <row r="31" ht="15.75" customHeight="1">
      <c r="A31" s="81" t="s">
        <v>70</v>
      </c>
      <c r="B31" s="145">
        <f>'Balance Sheet '!F40</f>
        <v>1003700000</v>
      </c>
      <c r="E31" s="81" t="s">
        <v>77</v>
      </c>
      <c r="F31" s="147">
        <f>F28/(F28+F29)</f>
        <v>0.6906949352</v>
      </c>
    </row>
    <row r="32" ht="15.75" customHeight="1">
      <c r="A32" s="81"/>
      <c r="B32" s="149"/>
      <c r="E32" s="81" t="s">
        <v>80</v>
      </c>
      <c r="F32" s="147">
        <f>1-F31</f>
        <v>0.3093050648</v>
      </c>
      <c r="G32" s="76"/>
    </row>
    <row r="33" ht="15.75" customHeight="1">
      <c r="A33" s="81" t="s">
        <v>76</v>
      </c>
      <c r="B33" s="154">
        <f>B27/B30</f>
        <v>0.05159494755</v>
      </c>
      <c r="G33" s="155"/>
    </row>
    <row r="34" ht="15.75" customHeight="1">
      <c r="A34" s="81" t="s">
        <v>77</v>
      </c>
      <c r="B34" s="157">
        <f>B30/(B30+B31)</f>
        <v>0.3175822682</v>
      </c>
      <c r="C34" s="42"/>
      <c r="G34" s="158"/>
    </row>
    <row r="35" ht="15.75" customHeight="1">
      <c r="A35" s="81" t="s">
        <v>80</v>
      </c>
      <c r="B35" s="157">
        <f>1-B34</f>
        <v>0.6824177318</v>
      </c>
    </row>
    <row r="36" ht="15.75" customHeight="1"/>
    <row r="37" ht="15.75" customHeight="1"/>
    <row r="38" ht="15.75" customHeight="1">
      <c r="A38" s="161" t="s">
        <v>84</v>
      </c>
      <c r="B38" s="163"/>
    </row>
    <row r="39" ht="15.75" customHeight="1">
      <c r="A39" s="77" t="s">
        <v>85</v>
      </c>
      <c r="B39" s="77" t="s">
        <v>86</v>
      </c>
    </row>
    <row r="40" ht="15.75" customHeight="1">
      <c r="A40" s="77" t="s">
        <v>87</v>
      </c>
      <c r="B40" s="77" t="s">
        <v>88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3:B14"/>
    <mergeCell ref="E13:E14"/>
    <mergeCell ref="G13:G14"/>
    <mergeCell ref="A13:A14"/>
    <mergeCell ref="A17:B17"/>
    <mergeCell ref="A1:B1"/>
    <mergeCell ref="E1:F1"/>
    <mergeCell ref="A2:B2"/>
    <mergeCell ref="E2:F2"/>
    <mergeCell ref="A3:B3"/>
    <mergeCell ref="E3:F3"/>
    <mergeCell ref="F13:F14"/>
    <mergeCell ref="E17:F17"/>
  </mergeCells>
  <hyperlinks>
    <hyperlink r:id="rId1" ref="E19"/>
    <hyperlink r:id="rId2" ref="E21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76DCC"/>
    <pageSetUpPr/>
  </sheetPr>
  <sheetViews>
    <sheetView workbookViewId="0"/>
  </sheetViews>
  <sheetFormatPr customHeight="1" defaultColWidth="11.22" defaultRowHeight="15.0"/>
  <cols>
    <col customWidth="1" min="1" max="1" width="40.0"/>
    <col customWidth="1" min="2" max="2" width="23.44"/>
    <col customWidth="1" min="3" max="3" width="21.67"/>
    <col customWidth="1" min="4" max="6" width="20.44"/>
    <col customWidth="1" min="7" max="7" width="22.0"/>
    <col customWidth="1" min="8" max="8" width="28.0"/>
    <col customWidth="1" min="9" max="9" width="23.44"/>
    <col customWidth="1" min="10" max="10" width="20.44"/>
    <col customWidth="1" min="11" max="11" width="20.67"/>
    <col customWidth="1" min="12" max="12" width="21.78"/>
    <col customWidth="1" min="13" max="26" width="11.44"/>
  </cols>
  <sheetData>
    <row r="1" ht="28.5" customHeight="1">
      <c r="A1" s="1"/>
      <c r="B1" s="1"/>
      <c r="C1" s="3" t="s">
        <v>1</v>
      </c>
      <c r="D1" s="5"/>
      <c r="E1" s="5"/>
      <c r="F1" s="5"/>
      <c r="G1" s="5"/>
      <c r="H1" s="7"/>
      <c r="I1" s="7"/>
      <c r="J1" s="7"/>
      <c r="K1" s="7"/>
    </row>
    <row r="2" ht="15.75" customHeight="1">
      <c r="A2" s="11"/>
      <c r="B2" s="15">
        <v>2018.0</v>
      </c>
      <c r="C2" s="15">
        <v>2019.0</v>
      </c>
      <c r="D2" s="15">
        <v>2020.0</v>
      </c>
      <c r="E2" s="15">
        <v>2021.0</v>
      </c>
      <c r="F2" s="15">
        <v>2022.0</v>
      </c>
      <c r="G2" s="15">
        <v>2023.0</v>
      </c>
      <c r="H2" s="18" t="s">
        <v>4</v>
      </c>
      <c r="I2" s="18" t="s">
        <v>6</v>
      </c>
      <c r="J2" s="18" t="s">
        <v>7</v>
      </c>
      <c r="K2" s="18" t="s">
        <v>8</v>
      </c>
      <c r="L2" s="18" t="s">
        <v>9</v>
      </c>
    </row>
    <row r="3" ht="15.75" customHeight="1">
      <c r="A3" s="21" t="s">
        <v>10</v>
      </c>
      <c r="B3" s="22">
        <v>1.445018E9</v>
      </c>
      <c r="C3" s="29">
        <f>'Income Statement '!B3</f>
        <v>1427167000</v>
      </c>
      <c r="D3" s="29">
        <f>'Income Statement '!C3</f>
        <v>1501079000</v>
      </c>
      <c r="E3" s="29">
        <f>'Income Statement '!D3</f>
        <v>2081600000</v>
      </c>
      <c r="F3" s="29">
        <f>'Income Statement '!E3</f>
        <v>3018300000</v>
      </c>
      <c r="G3" s="29">
        <f>'Income Statement '!F3</f>
        <v>3387200000</v>
      </c>
      <c r="H3" s="39">
        <f t="shared" ref="H3:L3" si="1">G3*(1+(G7+$B$11))</f>
        <v>3960385770</v>
      </c>
      <c r="I3" s="37">
        <f t="shared" si="1"/>
        <v>4816704809</v>
      </c>
      <c r="J3" s="37">
        <f t="shared" si="1"/>
        <v>6084563233</v>
      </c>
      <c r="K3" s="37">
        <f t="shared" si="1"/>
        <v>7972123241</v>
      </c>
      <c r="L3" s="37">
        <f t="shared" si="1"/>
        <v>10819934016</v>
      </c>
    </row>
    <row r="4" ht="15.75" customHeight="1">
      <c r="A4" s="32" t="s">
        <v>19</v>
      </c>
      <c r="B4" s="37">
        <v>7.6552E7</v>
      </c>
      <c r="C4" s="37">
        <f>'Income Statement '!B16</f>
        <v>82964000</v>
      </c>
      <c r="D4" s="37">
        <f>'Income Statement '!C16</f>
        <v>43068000</v>
      </c>
      <c r="E4" s="37">
        <f>'Income Statement '!D16</f>
        <v>73000000</v>
      </c>
      <c r="F4" s="37">
        <f>'Income Statement '!E16</f>
        <v>75100000</v>
      </c>
      <c r="G4" s="37">
        <f>'Income Statement '!F16</f>
        <v>50800000</v>
      </c>
      <c r="H4" s="37">
        <f t="shared" ref="H4:L4" si="2">G4/G3*H3</f>
        <v>59396432.79</v>
      </c>
      <c r="I4" s="37">
        <f t="shared" si="2"/>
        <v>72239195.88</v>
      </c>
      <c r="J4" s="37">
        <f t="shared" si="2"/>
        <v>91254077.77</v>
      </c>
      <c r="K4" s="37">
        <f t="shared" si="2"/>
        <v>119563019.8</v>
      </c>
      <c r="L4" s="37">
        <f t="shared" si="2"/>
        <v>162273455.4</v>
      </c>
    </row>
    <row r="5" ht="15.75" customHeight="1">
      <c r="A5" s="32" t="s">
        <v>25</v>
      </c>
      <c r="B5" s="54"/>
      <c r="C5" s="55">
        <f>'Income Statement '!B10</f>
        <v>1308638000</v>
      </c>
      <c r="D5" s="55">
        <f>'Income Statement '!C10</f>
        <v>1419032000</v>
      </c>
      <c r="E5" s="55">
        <f>'Income Statement '!D10</f>
        <v>1966300000</v>
      </c>
      <c r="F5" s="55">
        <f>'Income Statement '!E10</f>
        <v>2848800000</v>
      </c>
      <c r="G5" s="55">
        <f>'Income Statement '!F10</f>
        <v>3258300000</v>
      </c>
      <c r="H5" s="55">
        <f t="shared" ref="H5:L5" si="3">G5*(1+(G6+($B$12)))</f>
        <v>3852108019</v>
      </c>
      <c r="I5" s="55">
        <f t="shared" si="3"/>
        <v>4702440581</v>
      </c>
      <c r="J5" s="55">
        <f t="shared" si="3"/>
        <v>5921523542</v>
      </c>
      <c r="K5" s="55">
        <f t="shared" si="3"/>
        <v>7684625997</v>
      </c>
      <c r="L5" s="55">
        <f t="shared" si="3"/>
        <v>10268541026</v>
      </c>
    </row>
    <row r="6" ht="15.75" customHeight="1">
      <c r="A6" s="32" t="s">
        <v>33</v>
      </c>
      <c r="B6" s="54"/>
      <c r="C6" s="54"/>
      <c r="D6" s="58">
        <f t="shared" ref="D6:L6" si="4">(D5-C5)/C5</f>
        <v>0.0843579355</v>
      </c>
      <c r="E6" s="58">
        <f t="shared" si="4"/>
        <v>0.3856629026</v>
      </c>
      <c r="F6" s="58">
        <f t="shared" si="4"/>
        <v>0.4488124905</v>
      </c>
      <c r="G6" s="58">
        <f t="shared" si="4"/>
        <v>0.1437447346</v>
      </c>
      <c r="H6" s="58">
        <f t="shared" si="4"/>
        <v>0.1822447346</v>
      </c>
      <c r="I6" s="58">
        <f t="shared" si="4"/>
        <v>0.2207447346</v>
      </c>
      <c r="J6" s="58">
        <f t="shared" si="4"/>
        <v>0.2592447346</v>
      </c>
      <c r="K6" s="58">
        <f t="shared" si="4"/>
        <v>0.2977447346</v>
      </c>
      <c r="L6" s="58">
        <f t="shared" si="4"/>
        <v>0.3362447346</v>
      </c>
    </row>
    <row r="7" ht="15.75" customHeight="1">
      <c r="A7" s="21" t="s">
        <v>35</v>
      </c>
      <c r="B7" s="63"/>
      <c r="C7" s="69">
        <f t="shared" ref="C7:L7" si="5">(C3-B3)/B3</f>
        <v>-0.01235347933</v>
      </c>
      <c r="D7" s="69">
        <f t="shared" si="5"/>
        <v>0.05178931407</v>
      </c>
      <c r="E7" s="69">
        <f t="shared" si="5"/>
        <v>0.386735808</v>
      </c>
      <c r="F7" s="69">
        <f t="shared" si="5"/>
        <v>0.449990392</v>
      </c>
      <c r="G7" s="69">
        <f t="shared" si="5"/>
        <v>0.1222211178</v>
      </c>
      <c r="H7" s="58">
        <f t="shared" si="5"/>
        <v>0.1692211178</v>
      </c>
      <c r="I7" s="58">
        <f t="shared" si="5"/>
        <v>0.2162211178</v>
      </c>
      <c r="J7" s="58">
        <f t="shared" si="5"/>
        <v>0.2632211178</v>
      </c>
      <c r="K7" s="58">
        <f t="shared" si="5"/>
        <v>0.3102211178</v>
      </c>
      <c r="L7" s="58">
        <f t="shared" si="5"/>
        <v>0.3572211178</v>
      </c>
    </row>
    <row r="8" ht="15.75" customHeight="1">
      <c r="A8" s="32" t="s">
        <v>36</v>
      </c>
      <c r="B8" s="63">
        <f t="shared" ref="B8:L8" si="6">B4/B3</f>
        <v>0.05297650271</v>
      </c>
      <c r="C8" s="63">
        <f t="shared" si="6"/>
        <v>0.05813194952</v>
      </c>
      <c r="D8" s="63">
        <f t="shared" si="6"/>
        <v>0.02869136135</v>
      </c>
      <c r="E8" s="63">
        <f t="shared" si="6"/>
        <v>0.03506917756</v>
      </c>
      <c r="F8" s="63">
        <f t="shared" si="6"/>
        <v>0.02488155584</v>
      </c>
      <c r="G8" s="63">
        <f t="shared" si="6"/>
        <v>0.01499763817</v>
      </c>
      <c r="H8" s="63">
        <f t="shared" si="6"/>
        <v>0.01499763817</v>
      </c>
      <c r="I8" s="63">
        <f t="shared" si="6"/>
        <v>0.01499763817</v>
      </c>
      <c r="J8" s="63">
        <f t="shared" si="6"/>
        <v>0.01499763817</v>
      </c>
      <c r="K8" s="63">
        <f t="shared" si="6"/>
        <v>0.01499763817</v>
      </c>
      <c r="L8" s="63">
        <f t="shared" si="6"/>
        <v>0.01499763817</v>
      </c>
    </row>
    <row r="9" ht="15.75" customHeight="1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</row>
    <row r="10" ht="15.75" customHeight="1">
      <c r="D10" s="42"/>
      <c r="E10" s="42"/>
      <c r="F10" s="42"/>
      <c r="G10" s="42"/>
      <c r="H10" s="76"/>
      <c r="I10" s="76"/>
      <c r="J10" s="76"/>
      <c r="K10" s="76"/>
      <c r="L10" s="76"/>
    </row>
    <row r="11" ht="15.75" customHeight="1">
      <c r="A11" s="77" t="s">
        <v>43</v>
      </c>
      <c r="B11" s="78">
        <v>0.047</v>
      </c>
      <c r="C11" s="42"/>
      <c r="D11" s="79">
        <f>AVERAGE(C7:G7)</f>
        <v>0.1996766305</v>
      </c>
      <c r="E11" s="79"/>
      <c r="F11" s="79">
        <f>AVERAGE(B8:G8)</f>
        <v>0.03579136419</v>
      </c>
      <c r="G11" s="79"/>
      <c r="H11" s="79"/>
      <c r="I11" s="79"/>
      <c r="J11" s="79"/>
      <c r="K11" s="79"/>
      <c r="L11" s="79"/>
    </row>
    <row r="12" ht="15.75" customHeight="1">
      <c r="A12" s="7" t="s">
        <v>45</v>
      </c>
      <c r="B12" s="78">
        <v>0.0385</v>
      </c>
      <c r="D12" s="90"/>
      <c r="E12" s="42"/>
      <c r="F12" s="42"/>
      <c r="H12" s="42"/>
      <c r="I12" s="42"/>
      <c r="J12" s="42"/>
      <c r="K12" s="42"/>
      <c r="L12" s="42"/>
    </row>
    <row r="13" ht="15.75" customHeight="1">
      <c r="B13" s="42"/>
      <c r="D13" s="85"/>
      <c r="H13" s="42"/>
    </row>
    <row r="14" ht="15.75" customHeight="1">
      <c r="B14" s="42"/>
      <c r="D14" s="85"/>
      <c r="H14" s="42"/>
    </row>
    <row r="15" ht="15.75" customHeight="1">
      <c r="B15" s="42"/>
      <c r="D15" s="85"/>
      <c r="E15" s="85"/>
    </row>
    <row r="16" ht="15.75" customHeight="1">
      <c r="A16" s="92" t="s">
        <v>52</v>
      </c>
      <c r="I16" s="93"/>
      <c r="J16" s="93"/>
      <c r="K16" s="93"/>
      <c r="L16" s="93"/>
    </row>
    <row r="17" ht="15.75" customHeight="1">
      <c r="A17" s="101"/>
      <c r="B17" s="101" t="s">
        <v>57</v>
      </c>
      <c r="C17" s="102" t="s">
        <v>58</v>
      </c>
      <c r="D17" s="103"/>
      <c r="E17" s="103"/>
      <c r="F17" s="103"/>
      <c r="G17" s="16"/>
      <c r="H17" s="75"/>
      <c r="I17" s="7"/>
      <c r="J17" s="7"/>
      <c r="K17" s="7"/>
    </row>
    <row r="18" ht="15.75" customHeight="1">
      <c r="A18" s="106" t="s">
        <v>59</v>
      </c>
      <c r="B18" s="107">
        <v>2023.0</v>
      </c>
      <c r="C18" s="110" t="s">
        <v>4</v>
      </c>
      <c r="D18" s="110" t="s">
        <v>6</v>
      </c>
      <c r="E18" s="110" t="s">
        <v>7</v>
      </c>
      <c r="F18" s="110" t="s">
        <v>8</v>
      </c>
      <c r="G18" s="110" t="s">
        <v>9</v>
      </c>
      <c r="H18" s="114" t="s">
        <v>61</v>
      </c>
      <c r="I18" s="115"/>
      <c r="J18" s="117" t="s">
        <v>65</v>
      </c>
      <c r="K18" s="6"/>
    </row>
    <row r="19" ht="15.75" customHeight="1">
      <c r="A19" s="119" t="s">
        <v>10</v>
      </c>
      <c r="B19" s="124">
        <f t="shared" ref="B19:G19" si="7">G3</f>
        <v>3387200000</v>
      </c>
      <c r="C19" s="127">
        <f t="shared" si="7"/>
        <v>3960385770</v>
      </c>
      <c r="D19" s="127">
        <f t="shared" si="7"/>
        <v>4816704809</v>
      </c>
      <c r="E19" s="127">
        <f t="shared" si="7"/>
        <v>6084563233</v>
      </c>
      <c r="F19" s="127">
        <f t="shared" si="7"/>
        <v>7972123241</v>
      </c>
      <c r="G19" s="127">
        <f t="shared" si="7"/>
        <v>10819934016</v>
      </c>
      <c r="H19" s="133" t="s">
        <v>69</v>
      </c>
      <c r="I19" s="7"/>
      <c r="J19" s="75" t="s">
        <v>71</v>
      </c>
      <c r="K19" s="135">
        <v>0.3</v>
      </c>
    </row>
    <row r="20" ht="15.75" customHeight="1">
      <c r="A20" s="119" t="s">
        <v>73</v>
      </c>
      <c r="B20" s="124">
        <f>23800000</f>
        <v>23800000</v>
      </c>
      <c r="C20" s="127">
        <f t="shared" ref="C20:G20" si="8">B20*(1+$H$20)</f>
        <v>27682794.73</v>
      </c>
      <c r="D20" s="127">
        <f t="shared" si="8"/>
        <v>32199038.83</v>
      </c>
      <c r="E20" s="127">
        <f t="shared" si="8"/>
        <v>37452074.89</v>
      </c>
      <c r="F20" s="127">
        <f t="shared" si="8"/>
        <v>43562105.1</v>
      </c>
      <c r="G20" s="127">
        <f t="shared" si="8"/>
        <v>50668941.74</v>
      </c>
      <c r="H20" s="146">
        <f>'Income Statement '!G8</f>
        <v>0.1631426357</v>
      </c>
      <c r="I20" s="7"/>
      <c r="J20" s="75" t="s">
        <v>78</v>
      </c>
      <c r="K20" s="148">
        <f>'Balance Sheet '!K8</f>
        <v>0.0432646559</v>
      </c>
    </row>
    <row r="21" ht="15.75" customHeight="1">
      <c r="A21" s="75" t="s">
        <v>79</v>
      </c>
      <c r="B21" s="151">
        <f>'Income Statement '!F10</f>
        <v>3258300000</v>
      </c>
      <c r="C21" s="153">
        <f t="shared" ref="C21:G21" si="9">H5</f>
        <v>3852108019</v>
      </c>
      <c r="D21" s="153">
        <f t="shared" si="9"/>
        <v>4702440581</v>
      </c>
      <c r="E21" s="153">
        <f t="shared" si="9"/>
        <v>5921523542</v>
      </c>
      <c r="F21" s="153">
        <f t="shared" si="9"/>
        <v>7684625997</v>
      </c>
      <c r="G21" s="153">
        <f t="shared" si="9"/>
        <v>10268541026</v>
      </c>
      <c r="H21" s="146" t="s">
        <v>81</v>
      </c>
      <c r="I21" s="7"/>
      <c r="J21" s="75" t="s">
        <v>82</v>
      </c>
      <c r="K21" s="148">
        <f>WACC!B13</f>
        <v>0.0573205721</v>
      </c>
    </row>
    <row r="22" ht="15.75" customHeight="1">
      <c r="A22" s="160" t="s">
        <v>83</v>
      </c>
      <c r="B22" s="164">
        <f>'Income Statement '!F15*-1</f>
        <v>101900000</v>
      </c>
      <c r="C22" s="153">
        <f>'Balance Sheet '!J15</f>
        <v>67750389.99</v>
      </c>
      <c r="D22" s="153">
        <f>'Balance Sheet '!K15</f>
        <v>62069287.86</v>
      </c>
      <c r="E22" s="153">
        <f>'Balance Sheet '!L15</f>
        <v>56864565.6</v>
      </c>
      <c r="F22" s="153">
        <f>'Balance Sheet '!M15</f>
        <v>52096277.11</v>
      </c>
      <c r="G22" s="153">
        <f>'Balance Sheet '!O15</f>
        <v>47727825.94</v>
      </c>
      <c r="H22" s="168" t="s">
        <v>89</v>
      </c>
      <c r="I22" s="169"/>
      <c r="J22" s="75" t="s">
        <v>90</v>
      </c>
      <c r="K22" s="148">
        <f>Cashflow!H18</f>
        <v>0.02194666336</v>
      </c>
    </row>
    <row r="23" ht="15.75" customHeight="1">
      <c r="A23" s="172" t="s">
        <v>19</v>
      </c>
      <c r="B23" s="174">
        <f t="shared" ref="B23:G23" si="10">B19+B20-B21-B22</f>
        <v>50800000</v>
      </c>
      <c r="C23" s="175">
        <f t="shared" si="10"/>
        <v>68210156.29</v>
      </c>
      <c r="D23" s="175">
        <f t="shared" si="10"/>
        <v>84393978.52</v>
      </c>
      <c r="E23" s="175">
        <f t="shared" si="10"/>
        <v>143627200.4</v>
      </c>
      <c r="F23" s="175">
        <f t="shared" si="10"/>
        <v>278963071.3</v>
      </c>
      <c r="G23" s="175">
        <f t="shared" si="10"/>
        <v>554334105.6</v>
      </c>
      <c r="H23" s="75"/>
      <c r="I23" s="7"/>
      <c r="J23" s="178" t="s">
        <v>91</v>
      </c>
      <c r="K23" s="180">
        <v>0.025</v>
      </c>
    </row>
    <row r="24" ht="15.75" customHeight="1">
      <c r="A24" s="178" t="s">
        <v>92</v>
      </c>
      <c r="B24" s="164"/>
      <c r="C24" s="183">
        <f t="shared" ref="C24:G24" si="11">C23*$K$19</f>
        <v>20463046.89</v>
      </c>
      <c r="D24" s="183">
        <f t="shared" si="11"/>
        <v>25318193.56</v>
      </c>
      <c r="E24" s="183">
        <f t="shared" si="11"/>
        <v>43088160.12</v>
      </c>
      <c r="F24" s="183">
        <f t="shared" si="11"/>
        <v>83688921.39</v>
      </c>
      <c r="G24" s="183">
        <f t="shared" si="11"/>
        <v>166300231.7</v>
      </c>
      <c r="H24" s="75"/>
      <c r="I24" s="7"/>
      <c r="J24" s="7"/>
      <c r="K24" s="187"/>
    </row>
    <row r="25" ht="15.75" customHeight="1">
      <c r="A25" s="189" t="s">
        <v>93</v>
      </c>
      <c r="B25" s="190"/>
      <c r="C25" s="192">
        <f t="shared" ref="C25:G25" si="12">C23-C24</f>
        <v>47747109.4</v>
      </c>
      <c r="D25" s="194">
        <f t="shared" si="12"/>
        <v>59075784.97</v>
      </c>
      <c r="E25" s="194">
        <f t="shared" si="12"/>
        <v>100539040.3</v>
      </c>
      <c r="F25" s="194">
        <f t="shared" si="12"/>
        <v>195274149.9</v>
      </c>
      <c r="G25" s="198">
        <f t="shared" si="12"/>
        <v>388033873.9</v>
      </c>
      <c r="H25" s="200"/>
      <c r="I25" s="7"/>
      <c r="J25" s="7"/>
      <c r="K25" s="201"/>
    </row>
    <row r="26" ht="15.75" customHeight="1">
      <c r="A26" s="202" t="s">
        <v>94</v>
      </c>
      <c r="B26" s="124"/>
      <c r="C26" s="127"/>
      <c r="D26" s="127"/>
      <c r="E26" s="127"/>
      <c r="F26" s="127"/>
      <c r="G26" s="127"/>
      <c r="H26" s="75"/>
      <c r="I26" s="7"/>
      <c r="J26" s="7"/>
      <c r="K26" s="98"/>
    </row>
    <row r="27" ht="15.75" customHeight="1">
      <c r="A27" s="75" t="s">
        <v>83</v>
      </c>
      <c r="B27" s="151">
        <f t="shared" ref="B27:G27" si="13">B22</f>
        <v>101900000</v>
      </c>
      <c r="C27" s="153">
        <f t="shared" si="13"/>
        <v>67750389.99</v>
      </c>
      <c r="D27" s="153">
        <f t="shared" si="13"/>
        <v>62069287.86</v>
      </c>
      <c r="E27" s="153">
        <f t="shared" si="13"/>
        <v>56864565.6</v>
      </c>
      <c r="F27" s="153">
        <f t="shared" si="13"/>
        <v>52096277.11</v>
      </c>
      <c r="G27" s="153">
        <f t="shared" si="13"/>
        <v>47727825.94</v>
      </c>
      <c r="H27" s="137"/>
      <c r="I27" s="7"/>
      <c r="J27" s="7"/>
      <c r="K27" s="7"/>
    </row>
    <row r="28" ht="15.75" customHeight="1">
      <c r="A28" s="101" t="s">
        <v>95</v>
      </c>
      <c r="B28" s="151"/>
      <c r="C28" s="153"/>
      <c r="D28" s="153"/>
      <c r="E28" s="153"/>
      <c r="F28" s="153"/>
      <c r="G28" s="153"/>
      <c r="H28" s="63"/>
      <c r="I28" s="7"/>
      <c r="J28" s="7"/>
      <c r="K28" s="7"/>
    </row>
    <row r="29" ht="15.75" customHeight="1">
      <c r="A29" s="75" t="s">
        <v>96</v>
      </c>
      <c r="B29" s="151"/>
      <c r="C29" s="204">
        <f t="shared" ref="C29:G29" si="14">C46</f>
        <v>24798685.12</v>
      </c>
      <c r="D29" s="204">
        <f t="shared" si="14"/>
        <v>37048348.54</v>
      </c>
      <c r="E29" s="204">
        <f t="shared" si="14"/>
        <v>54853458.45</v>
      </c>
      <c r="F29" s="204">
        <f t="shared" si="14"/>
        <v>81664634.23</v>
      </c>
      <c r="G29" s="204">
        <f t="shared" si="14"/>
        <v>123209553.3</v>
      </c>
      <c r="H29" s="206" t="s">
        <v>97</v>
      </c>
      <c r="I29" s="7"/>
      <c r="J29" s="100"/>
      <c r="K29" s="7"/>
    </row>
    <row r="30" ht="15.75" customHeight="1">
      <c r="A30" s="75" t="s">
        <v>98</v>
      </c>
      <c r="B30" s="151">
        <f>Cashflow!G13</f>
        <v>71800000</v>
      </c>
      <c r="C30" s="208">
        <f t="shared" ref="C30:G30" si="15">C19*$K$22</f>
        <v>86917253.28</v>
      </c>
      <c r="D30" s="208">
        <f t="shared" si="15"/>
        <v>105710598.9</v>
      </c>
      <c r="E30" s="208">
        <f t="shared" si="15"/>
        <v>133535861</v>
      </c>
      <c r="F30" s="208">
        <f t="shared" si="15"/>
        <v>174961505</v>
      </c>
      <c r="G30" s="208">
        <f t="shared" si="15"/>
        <v>237461449.4</v>
      </c>
      <c r="H30" s="75"/>
      <c r="I30" s="7"/>
      <c r="J30" s="7"/>
      <c r="K30" s="7"/>
    </row>
    <row r="31" ht="15.75" customHeight="1">
      <c r="A31" s="101" t="s">
        <v>99</v>
      </c>
      <c r="B31" s="210"/>
      <c r="C31" s="212">
        <f t="shared" ref="C31:G31" si="16">C25+C27-C29-C30</f>
        <v>3781560.99</v>
      </c>
      <c r="D31" s="212">
        <f t="shared" si="16"/>
        <v>-21613874.65</v>
      </c>
      <c r="E31" s="212">
        <f t="shared" si="16"/>
        <v>-30985713.54</v>
      </c>
      <c r="F31" s="212">
        <f t="shared" si="16"/>
        <v>-9255712.238</v>
      </c>
      <c r="G31" s="212">
        <f t="shared" si="16"/>
        <v>75090697.13</v>
      </c>
      <c r="H31" s="138"/>
      <c r="I31" s="7"/>
      <c r="J31" s="7"/>
      <c r="K31" s="7"/>
    </row>
    <row r="32" ht="15.75" customHeight="1">
      <c r="A32" s="217" t="s">
        <v>100</v>
      </c>
      <c r="B32" s="218">
        <v>0.0</v>
      </c>
      <c r="C32" s="220">
        <v>1.0</v>
      </c>
      <c r="D32" s="221">
        <v>2.0</v>
      </c>
      <c r="E32" s="221">
        <v>3.0</v>
      </c>
      <c r="F32" s="221">
        <v>4.0</v>
      </c>
      <c r="G32" s="221">
        <v>5.0</v>
      </c>
      <c r="H32" s="75"/>
      <c r="I32" s="7"/>
      <c r="J32" s="7"/>
      <c r="K32" s="7"/>
    </row>
    <row r="33" ht="15.75" customHeight="1">
      <c r="A33" s="75" t="s">
        <v>101</v>
      </c>
      <c r="B33" s="222"/>
      <c r="C33" s="224">
        <f t="shared" ref="C33:G33" si="17">C31/((1+$K$21)^C32)</f>
        <v>3576551.038</v>
      </c>
      <c r="D33" s="224">
        <f t="shared" si="17"/>
        <v>-19333890.91</v>
      </c>
      <c r="E33" s="224">
        <f t="shared" si="17"/>
        <v>-26214492.52</v>
      </c>
      <c r="F33" s="224">
        <f t="shared" si="17"/>
        <v>-7405989.888</v>
      </c>
      <c r="G33" s="224">
        <f t="shared" si="17"/>
        <v>56826737.7</v>
      </c>
      <c r="H33" s="227" t="s">
        <v>102</v>
      </c>
      <c r="I33" s="7"/>
      <c r="J33" s="7"/>
      <c r="K33" s="7"/>
    </row>
    <row r="34" ht="15.75" customHeight="1">
      <c r="A34" s="75" t="s">
        <v>103</v>
      </c>
      <c r="B34" s="228"/>
      <c r="C34" s="153"/>
      <c r="D34" s="153"/>
      <c r="E34" s="153"/>
      <c r="F34" s="153"/>
      <c r="G34" s="231">
        <f>G31*(1+K23)/(K21-K23)</f>
        <v>2381392393</v>
      </c>
      <c r="H34" s="227" t="s">
        <v>104</v>
      </c>
      <c r="I34" s="7"/>
      <c r="J34" s="7"/>
      <c r="K34" s="7"/>
    </row>
    <row r="35" ht="15.75" customHeight="1">
      <c r="A35" s="232" t="s">
        <v>105</v>
      </c>
      <c r="B35" s="234">
        <f>SUM(C33:G33,G34)</f>
        <v>2388841309</v>
      </c>
      <c r="C35" s="183"/>
      <c r="D35" s="153"/>
      <c r="E35" s="153"/>
      <c r="F35" s="183"/>
      <c r="G35" s="183"/>
      <c r="H35" s="75"/>
      <c r="I35" s="7"/>
      <c r="J35" s="7"/>
      <c r="K35" s="7"/>
    </row>
    <row r="36" ht="15.75" customHeight="1">
      <c r="A36" s="236" t="s">
        <v>106</v>
      </c>
      <c r="B36" s="238">
        <v>3.0425E8</v>
      </c>
      <c r="C36" s="98"/>
      <c r="D36" s="98"/>
      <c r="E36" s="98"/>
      <c r="F36" s="240" t="s">
        <v>108</v>
      </c>
      <c r="G36" s="241">
        <f>WACC!B30</f>
        <v>467100000</v>
      </c>
      <c r="H36" s="200"/>
      <c r="I36" s="7"/>
      <c r="J36" s="7"/>
      <c r="K36" s="7"/>
    </row>
    <row r="37" ht="15.75" customHeight="1">
      <c r="A37" s="243" t="s">
        <v>110</v>
      </c>
      <c r="B37" s="245">
        <v>4.42</v>
      </c>
      <c r="C37" s="246" t="s">
        <v>111</v>
      </c>
      <c r="D37" s="98"/>
      <c r="E37" s="98"/>
      <c r="F37" s="249" t="s">
        <v>112</v>
      </c>
      <c r="G37" s="251">
        <f>B35-G36</f>
        <v>1921741309</v>
      </c>
      <c r="H37" s="200"/>
      <c r="I37" s="7"/>
      <c r="J37" s="7"/>
      <c r="K37" s="7"/>
    </row>
    <row r="38" ht="15.75" customHeight="1">
      <c r="A38" s="252" t="s">
        <v>114</v>
      </c>
      <c r="B38" s="253">
        <f>B35/B36</f>
        <v>7.851573735</v>
      </c>
      <c r="C38" s="255">
        <f>B39/B37</f>
        <v>0.7763741482</v>
      </c>
      <c r="D38" s="100"/>
      <c r="E38" s="98"/>
      <c r="F38" s="98"/>
      <c r="G38" s="98"/>
      <c r="H38" s="75"/>
      <c r="I38" s="7"/>
      <c r="J38" s="7"/>
      <c r="K38" s="7"/>
    </row>
    <row r="39" ht="15.75" customHeight="1">
      <c r="A39" s="243" t="s">
        <v>115</v>
      </c>
      <c r="B39" s="257">
        <f>B38-B37</f>
        <v>3.431573735</v>
      </c>
      <c r="C39" s="100"/>
      <c r="D39" s="259"/>
      <c r="E39" s="98"/>
      <c r="F39" s="98"/>
      <c r="G39" s="98"/>
      <c r="H39" s="75"/>
      <c r="I39" s="7"/>
      <c r="J39" s="7"/>
      <c r="K39" s="7"/>
    </row>
    <row r="40" ht="15.75" customHeight="1">
      <c r="A40" s="262" t="s">
        <v>118</v>
      </c>
      <c r="B40" s="266">
        <f>B39*B36</f>
        <v>1044056309</v>
      </c>
      <c r="C40" s="98"/>
      <c r="D40" s="98"/>
      <c r="E40" s="98"/>
      <c r="F40" s="98"/>
      <c r="G40" s="98"/>
      <c r="H40" s="75"/>
      <c r="I40" s="7"/>
      <c r="J40" s="7"/>
      <c r="K40" s="7"/>
    </row>
    <row r="41" ht="15.75" customHeight="1">
      <c r="A41" s="268"/>
      <c r="B41" s="270"/>
      <c r="C41" s="98"/>
      <c r="D41" s="98"/>
      <c r="E41" s="98"/>
      <c r="F41" s="98"/>
      <c r="G41" s="98"/>
      <c r="H41" s="75"/>
      <c r="I41" s="7"/>
      <c r="J41" s="7"/>
      <c r="K41" s="7"/>
    </row>
    <row r="42" ht="15.75" customHeight="1">
      <c r="A42" s="7"/>
      <c r="B42" s="85"/>
      <c r="C42" s="98"/>
      <c r="D42" s="98"/>
      <c r="E42" s="98"/>
      <c r="F42" s="98"/>
      <c r="G42" s="98"/>
      <c r="H42" s="275"/>
      <c r="I42" s="7"/>
      <c r="J42" s="7"/>
      <c r="K42" s="7"/>
    </row>
    <row r="43" ht="15.75" customHeight="1">
      <c r="A43" s="242" t="s">
        <v>97</v>
      </c>
      <c r="C43" s="7"/>
      <c r="D43" s="7"/>
      <c r="E43" s="7"/>
      <c r="F43" s="7"/>
      <c r="G43" s="7"/>
      <c r="H43" s="75"/>
      <c r="I43" s="7"/>
      <c r="J43" s="7"/>
      <c r="K43" s="7"/>
    </row>
    <row r="44" ht="15.75" customHeight="1">
      <c r="A44" s="244" t="s">
        <v>107</v>
      </c>
      <c r="B44" s="15">
        <v>2023.0</v>
      </c>
      <c r="C44" s="247" t="s">
        <v>4</v>
      </c>
      <c r="D44" s="247" t="str">
        <f t="shared" ref="D44:G44" si="18">D18</f>
        <v>2025E</v>
      </c>
      <c r="E44" s="247" t="str">
        <f t="shared" si="18"/>
        <v>2026E</v>
      </c>
      <c r="F44" s="247" t="str">
        <f t="shared" si="18"/>
        <v>2027E</v>
      </c>
      <c r="G44" s="247" t="str">
        <f t="shared" si="18"/>
        <v>2028E</v>
      </c>
      <c r="H44" s="75"/>
      <c r="I44" s="7"/>
      <c r="J44" s="7"/>
      <c r="K44" s="7"/>
    </row>
    <row r="45" ht="15.75" customHeight="1">
      <c r="A45" s="77" t="s">
        <v>109</v>
      </c>
      <c r="B45" s="55">
        <f t="shared" ref="B45:G45" si="19">B19*$K$20</f>
        <v>146546042.5</v>
      </c>
      <c r="C45" s="55">
        <f t="shared" si="19"/>
        <v>171344727.6</v>
      </c>
      <c r="D45" s="55">
        <f t="shared" si="19"/>
        <v>208393076.1</v>
      </c>
      <c r="E45" s="55">
        <f t="shared" si="19"/>
        <v>263246534.6</v>
      </c>
      <c r="F45" s="55">
        <f t="shared" si="19"/>
        <v>344911168.8</v>
      </c>
      <c r="G45" s="55">
        <f t="shared" si="19"/>
        <v>468120722.1</v>
      </c>
      <c r="H45" s="254"/>
      <c r="I45" s="7"/>
      <c r="J45" s="7"/>
      <c r="K45" s="7"/>
    </row>
    <row r="46" ht="15.75" customHeight="1">
      <c r="A46" s="77" t="s">
        <v>113</v>
      </c>
      <c r="B46" s="250"/>
      <c r="C46" s="55">
        <f t="shared" ref="C46:G46" si="20">C45-B45</f>
        <v>24798685.12</v>
      </c>
      <c r="D46" s="55">
        <f t="shared" si="20"/>
        <v>37048348.54</v>
      </c>
      <c r="E46" s="55">
        <f t="shared" si="20"/>
        <v>54853458.45</v>
      </c>
      <c r="F46" s="55">
        <f t="shared" si="20"/>
        <v>81664634.23</v>
      </c>
      <c r="G46" s="55">
        <f t="shared" si="20"/>
        <v>123209553.3</v>
      </c>
      <c r="H46" s="254"/>
      <c r="I46" s="7"/>
      <c r="J46" s="7"/>
      <c r="K46" s="7"/>
    </row>
    <row r="47" ht="15.75" customHeight="1">
      <c r="H47" s="7"/>
      <c r="I47" s="7"/>
      <c r="J47" s="7"/>
      <c r="K47" s="7"/>
      <c r="L47" s="7"/>
    </row>
    <row r="48" ht="15.75" customHeight="1">
      <c r="A48" s="77" t="s">
        <v>124</v>
      </c>
      <c r="H48" s="7"/>
      <c r="I48" s="7"/>
      <c r="J48" s="7"/>
      <c r="K48" s="7"/>
      <c r="L48" s="7"/>
    </row>
    <row r="49" ht="15.75" customHeight="1">
      <c r="A49" s="77" t="s">
        <v>125</v>
      </c>
      <c r="B49" s="85">
        <f t="shared" ref="B49:G49" si="21">B19+B20</f>
        <v>3411000000</v>
      </c>
      <c r="C49" s="85">
        <f t="shared" si="21"/>
        <v>3988068565</v>
      </c>
      <c r="D49" s="85">
        <f t="shared" si="21"/>
        <v>4848903848</v>
      </c>
      <c r="E49" s="85">
        <f t="shared" si="21"/>
        <v>6122015308</v>
      </c>
      <c r="F49" s="85">
        <f t="shared" si="21"/>
        <v>8015685346</v>
      </c>
      <c r="G49" s="85">
        <f t="shared" si="21"/>
        <v>10870602958</v>
      </c>
      <c r="H49" s="7"/>
      <c r="I49" s="7"/>
      <c r="J49" s="7"/>
      <c r="K49" s="7"/>
      <c r="L49" s="7"/>
    </row>
    <row r="50" ht="15.75" customHeight="1">
      <c r="A50" s="77" t="s">
        <v>126</v>
      </c>
      <c r="B50" s="85">
        <f t="shared" ref="B50:G50" si="22">B21+B22</f>
        <v>3360200000</v>
      </c>
      <c r="C50" s="85">
        <f t="shared" si="22"/>
        <v>3919858409</v>
      </c>
      <c r="D50" s="85">
        <f t="shared" si="22"/>
        <v>4764509869</v>
      </c>
      <c r="E50" s="85">
        <f t="shared" si="22"/>
        <v>5978388107</v>
      </c>
      <c r="F50" s="85">
        <f t="shared" si="22"/>
        <v>7736722274</v>
      </c>
      <c r="G50" s="85">
        <f t="shared" si="22"/>
        <v>10316268852</v>
      </c>
      <c r="H50" s="7"/>
      <c r="I50" s="7"/>
      <c r="J50" s="7"/>
      <c r="K50" s="7"/>
      <c r="L50" s="7"/>
    </row>
    <row r="51" ht="15.75" customHeight="1">
      <c r="D51" s="77">
        <f t="shared" ref="D51:G51" si="23">(D49-C49)/C49</f>
        <v>0.2158526787</v>
      </c>
      <c r="E51" s="77">
        <f t="shared" si="23"/>
        <v>0.2625565489</v>
      </c>
      <c r="F51" s="77">
        <f t="shared" si="23"/>
        <v>0.3093213497</v>
      </c>
      <c r="G51" s="77">
        <f t="shared" si="23"/>
        <v>0.3561663774</v>
      </c>
      <c r="H51" s="7"/>
      <c r="I51" s="7"/>
      <c r="J51" s="7"/>
      <c r="K51" s="7"/>
      <c r="L51" s="7"/>
    </row>
    <row r="52" ht="15.75" customHeight="1">
      <c r="C52" s="77">
        <f t="shared" ref="C52:G52" si="24">(C50-B50)/B50</f>
        <v>0.1665550886</v>
      </c>
      <c r="D52" s="77">
        <f t="shared" si="24"/>
        <v>0.2154800945</v>
      </c>
      <c r="E52" s="77">
        <f t="shared" si="24"/>
        <v>0.2547750496</v>
      </c>
      <c r="F52" s="77">
        <f t="shared" si="24"/>
        <v>0.2941150918</v>
      </c>
      <c r="G52" s="77">
        <f t="shared" si="24"/>
        <v>0.3334159462</v>
      </c>
      <c r="H52" s="7"/>
      <c r="I52" s="7"/>
      <c r="J52" s="7"/>
      <c r="K52" s="7"/>
      <c r="L52" s="7"/>
    </row>
    <row r="53" ht="15.75" customHeight="1">
      <c r="H53" s="7"/>
      <c r="I53" s="7"/>
      <c r="J53" s="7"/>
      <c r="K53" s="7"/>
      <c r="L53" s="7"/>
    </row>
    <row r="54" ht="15.75" customHeight="1">
      <c r="H54" s="7"/>
      <c r="I54" s="7"/>
      <c r="L54" s="7"/>
    </row>
    <row r="55" ht="15.75" customHeight="1">
      <c r="B55" s="85"/>
      <c r="C55" s="85"/>
      <c r="D55" s="85"/>
      <c r="E55" s="85"/>
      <c r="F55" s="85"/>
      <c r="G55" s="85"/>
    </row>
    <row r="56" ht="15.75" customHeight="1">
      <c r="B56" s="85"/>
      <c r="C56" s="85"/>
      <c r="D56" s="85"/>
      <c r="E56" s="85"/>
      <c r="F56" s="85"/>
      <c r="G56" s="8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G1"/>
    <mergeCell ref="A16:H16"/>
    <mergeCell ref="C17:G17"/>
    <mergeCell ref="J18:K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1.22" defaultRowHeight="15.0"/>
  <cols>
    <col customWidth="1" min="1" max="1" width="40.0"/>
    <col customWidth="1" min="2" max="3" width="31.11"/>
    <col customWidth="1" min="4" max="4" width="29.33"/>
    <col customWidth="1" min="5" max="5" width="38.67"/>
    <col customWidth="1" min="6" max="6" width="39.78"/>
    <col customWidth="1" min="7" max="7" width="28.0"/>
    <col customWidth="1" min="8" max="8" width="28.33"/>
    <col customWidth="1" min="9" max="11" width="26.11"/>
    <col customWidth="1" min="12" max="12" width="27.67"/>
    <col customWidth="1" min="13" max="26" width="11.44"/>
  </cols>
  <sheetData>
    <row r="1" ht="28.5" customHeight="1">
      <c r="A1" s="4"/>
      <c r="B1" s="4"/>
      <c r="C1" s="8" t="s">
        <v>1</v>
      </c>
      <c r="D1" s="5"/>
      <c r="E1" s="5"/>
      <c r="F1" s="5"/>
      <c r="G1" s="5"/>
      <c r="H1" s="10"/>
      <c r="I1" s="10"/>
      <c r="J1" s="10"/>
      <c r="K1" s="10"/>
      <c r="L1" s="12"/>
    </row>
    <row r="2" ht="15.75" customHeight="1">
      <c r="A2" s="14"/>
      <c r="B2" s="17">
        <v>2018.0</v>
      </c>
      <c r="C2" s="17">
        <v>2019.0</v>
      </c>
      <c r="D2" s="17">
        <v>2020.0</v>
      </c>
      <c r="E2" s="17">
        <v>2021.0</v>
      </c>
      <c r="F2" s="17">
        <v>2022.0</v>
      </c>
      <c r="G2" s="17">
        <v>2023.0</v>
      </c>
      <c r="H2" s="20" t="s">
        <v>4</v>
      </c>
      <c r="I2" s="20" t="s">
        <v>6</v>
      </c>
      <c r="J2" s="20" t="s">
        <v>7</v>
      </c>
      <c r="K2" s="20" t="s">
        <v>8</v>
      </c>
      <c r="L2" s="20" t="s">
        <v>9</v>
      </c>
    </row>
    <row r="3" ht="15.75" customHeight="1">
      <c r="A3" s="23" t="s">
        <v>10</v>
      </c>
      <c r="B3" s="25">
        <v>1.445018E9</v>
      </c>
      <c r="C3" s="28">
        <f>'Income Statement '!B3</f>
        <v>1427167000</v>
      </c>
      <c r="D3" s="28">
        <f>'Income Statement '!C3</f>
        <v>1501079000</v>
      </c>
      <c r="E3" s="28">
        <f>'Income Statement '!D3</f>
        <v>2081600000</v>
      </c>
      <c r="F3" s="28">
        <f>'Income Statement '!E3</f>
        <v>3018300000</v>
      </c>
      <c r="G3" s="28">
        <f>'Income Statement '!F3</f>
        <v>3387200000</v>
      </c>
      <c r="H3" s="36">
        <f t="shared" ref="H3:L3" si="1">G3*(1+(G7+$B$11))</f>
        <v>3936675370</v>
      </c>
      <c r="I3" s="28">
        <f t="shared" si="1"/>
        <v>4732754264</v>
      </c>
      <c r="J3" s="28">
        <f t="shared" si="1"/>
        <v>5879127293</v>
      </c>
      <c r="K3" s="28">
        <f t="shared" si="1"/>
        <v>7538341169</v>
      </c>
      <c r="L3" s="28">
        <f t="shared" si="1"/>
        <v>9967353888</v>
      </c>
    </row>
    <row r="4" ht="15.75" customHeight="1">
      <c r="A4" s="23" t="s">
        <v>19</v>
      </c>
      <c r="B4" s="28">
        <v>7.6552E7</v>
      </c>
      <c r="C4" s="28">
        <f>'Income Statement '!B16</f>
        <v>82964000</v>
      </c>
      <c r="D4" s="28">
        <f>'Income Statement '!C16</f>
        <v>43068000</v>
      </c>
      <c r="E4" s="28">
        <f>'Income Statement '!D16</f>
        <v>73000000</v>
      </c>
      <c r="F4" s="28">
        <f>'Income Statement '!E16</f>
        <v>75100000</v>
      </c>
      <c r="G4" s="28">
        <f>'Income Statement '!F16</f>
        <v>50800000</v>
      </c>
      <c r="H4" s="28">
        <f t="shared" ref="H4:L4" si="2">G4/G3*H3</f>
        <v>59040832.79</v>
      </c>
      <c r="I4" s="28">
        <f t="shared" si="2"/>
        <v>70980135.99</v>
      </c>
      <c r="J4" s="28">
        <f t="shared" si="2"/>
        <v>88173023.88</v>
      </c>
      <c r="K4" s="28">
        <f t="shared" si="2"/>
        <v>113057313.2</v>
      </c>
      <c r="L4" s="28">
        <f t="shared" si="2"/>
        <v>149486767.1</v>
      </c>
    </row>
    <row r="5" ht="15.75" customHeight="1">
      <c r="A5" s="23" t="s">
        <v>25</v>
      </c>
      <c r="B5" s="47"/>
      <c r="C5" s="49">
        <f>'Income Statement '!B10</f>
        <v>1308638000</v>
      </c>
      <c r="D5" s="49">
        <f>'Income Statement '!C10</f>
        <v>1419032000</v>
      </c>
      <c r="E5" s="49">
        <f>'Income Statement '!D10</f>
        <v>1966300000</v>
      </c>
      <c r="F5" s="49">
        <f>'Income Statement '!E10</f>
        <v>2848800000</v>
      </c>
      <c r="G5" s="49">
        <f>'Income Statement '!F10</f>
        <v>3258300000</v>
      </c>
      <c r="H5" s="49">
        <f t="shared" ref="H5:L5" si="3">G5*(1+(G6+($B$12)))</f>
        <v>3852108019</v>
      </c>
      <c r="I5" s="49">
        <f t="shared" si="3"/>
        <v>4702440581</v>
      </c>
      <c r="J5" s="49">
        <f t="shared" si="3"/>
        <v>5921523542</v>
      </c>
      <c r="K5" s="49">
        <f t="shared" si="3"/>
        <v>7684625997</v>
      </c>
      <c r="L5" s="49">
        <f t="shared" si="3"/>
        <v>10268541026</v>
      </c>
    </row>
    <row r="6" ht="15.75" customHeight="1">
      <c r="A6" s="23" t="s">
        <v>33</v>
      </c>
      <c r="B6" s="47"/>
      <c r="C6" s="47"/>
      <c r="D6" s="62">
        <f t="shared" ref="D6:L6" si="4">(D5-C5)/C5</f>
        <v>0.0843579355</v>
      </c>
      <c r="E6" s="62">
        <f t="shared" si="4"/>
        <v>0.3856629026</v>
      </c>
      <c r="F6" s="62">
        <f t="shared" si="4"/>
        <v>0.4488124905</v>
      </c>
      <c r="G6" s="62">
        <f t="shared" si="4"/>
        <v>0.1437447346</v>
      </c>
      <c r="H6" s="62">
        <f t="shared" si="4"/>
        <v>0.1822447346</v>
      </c>
      <c r="I6" s="62">
        <f t="shared" si="4"/>
        <v>0.2207447346</v>
      </c>
      <c r="J6" s="62">
        <f t="shared" si="4"/>
        <v>0.2592447346</v>
      </c>
      <c r="K6" s="62">
        <f t="shared" si="4"/>
        <v>0.2977447346</v>
      </c>
      <c r="L6" s="62">
        <f t="shared" si="4"/>
        <v>0.3362447346</v>
      </c>
    </row>
    <row r="7" ht="15.75" customHeight="1">
      <c r="A7" s="23" t="s">
        <v>35</v>
      </c>
      <c r="B7" s="70"/>
      <c r="C7" s="62">
        <f t="shared" ref="C7:L7" si="5">(C3-B3)/B3</f>
        <v>-0.01235347933</v>
      </c>
      <c r="D7" s="62">
        <f t="shared" si="5"/>
        <v>0.05178931407</v>
      </c>
      <c r="E7" s="62">
        <f t="shared" si="5"/>
        <v>0.386735808</v>
      </c>
      <c r="F7" s="62">
        <f t="shared" si="5"/>
        <v>0.449990392</v>
      </c>
      <c r="G7" s="62">
        <f t="shared" si="5"/>
        <v>0.1222211178</v>
      </c>
      <c r="H7" s="62">
        <f t="shared" si="5"/>
        <v>0.1622211178</v>
      </c>
      <c r="I7" s="62">
        <f t="shared" si="5"/>
        <v>0.2022211178</v>
      </c>
      <c r="J7" s="62">
        <f t="shared" si="5"/>
        <v>0.2422211178</v>
      </c>
      <c r="K7" s="62">
        <f t="shared" si="5"/>
        <v>0.2822211178</v>
      </c>
      <c r="L7" s="62">
        <f t="shared" si="5"/>
        <v>0.3222211178</v>
      </c>
    </row>
    <row r="8" ht="15.75" customHeight="1">
      <c r="A8" s="23" t="s">
        <v>36</v>
      </c>
      <c r="B8" s="70">
        <f t="shared" ref="B8:L8" si="6">B4/B3</f>
        <v>0.05297650271</v>
      </c>
      <c r="C8" s="70">
        <f t="shared" si="6"/>
        <v>0.05813194952</v>
      </c>
      <c r="D8" s="70">
        <f t="shared" si="6"/>
        <v>0.02869136135</v>
      </c>
      <c r="E8" s="70">
        <f t="shared" si="6"/>
        <v>0.03506917756</v>
      </c>
      <c r="F8" s="70">
        <f t="shared" si="6"/>
        <v>0.02488155584</v>
      </c>
      <c r="G8" s="70">
        <f t="shared" si="6"/>
        <v>0.01499763817</v>
      </c>
      <c r="H8" s="70">
        <f t="shared" si="6"/>
        <v>0.01499763817</v>
      </c>
      <c r="I8" s="70">
        <f t="shared" si="6"/>
        <v>0.01499763817</v>
      </c>
      <c r="J8" s="70">
        <f t="shared" si="6"/>
        <v>0.01499763817</v>
      </c>
      <c r="K8" s="70">
        <f t="shared" si="6"/>
        <v>0.01499763817</v>
      </c>
      <c r="L8" s="70">
        <f t="shared" si="6"/>
        <v>0.01499763817</v>
      </c>
    </row>
    <row r="9" ht="15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</row>
    <row r="10" ht="15.75" customHeight="1">
      <c r="A10" s="12"/>
      <c r="B10" s="12"/>
      <c r="C10" s="12"/>
      <c r="D10" s="86"/>
      <c r="E10" s="86"/>
      <c r="F10" s="86"/>
      <c r="G10" s="86"/>
      <c r="H10" s="87"/>
      <c r="I10" s="87"/>
      <c r="J10" s="87"/>
      <c r="K10" s="87"/>
      <c r="L10" s="87"/>
    </row>
    <row r="11" ht="15.75" customHeight="1">
      <c r="A11" s="12" t="s">
        <v>43</v>
      </c>
      <c r="B11" s="88">
        <v>0.04</v>
      </c>
      <c r="C11" s="12" t="s">
        <v>44</v>
      </c>
      <c r="D11" s="89"/>
      <c r="E11" s="89"/>
      <c r="F11" s="89"/>
      <c r="G11" s="89"/>
      <c r="H11" s="89"/>
      <c r="I11" s="89"/>
      <c r="J11" s="89"/>
      <c r="K11" s="89"/>
      <c r="L11" s="89"/>
    </row>
    <row r="12" ht="15.75" customHeight="1">
      <c r="A12" s="10" t="s">
        <v>45</v>
      </c>
      <c r="B12" s="88">
        <v>0.0385</v>
      </c>
      <c r="C12" s="95" t="s">
        <v>53</v>
      </c>
      <c r="D12" s="96"/>
      <c r="E12" s="86" t="s">
        <v>51</v>
      </c>
      <c r="F12" s="86"/>
      <c r="G12" s="12"/>
      <c r="H12" s="86"/>
      <c r="I12" s="86"/>
      <c r="J12" s="86"/>
      <c r="K12" s="86"/>
      <c r="L12" s="86"/>
    </row>
    <row r="13" ht="15.75" customHeight="1">
      <c r="A13" s="12"/>
      <c r="B13" s="86"/>
      <c r="C13" s="12"/>
      <c r="D13" s="96"/>
      <c r="E13" s="12"/>
      <c r="F13" s="12"/>
      <c r="G13" s="12"/>
      <c r="H13" s="86"/>
      <c r="I13" s="12"/>
      <c r="J13" s="12"/>
      <c r="K13" s="12"/>
      <c r="L13" s="12"/>
    </row>
    <row r="14" ht="15.75" customHeight="1">
      <c r="A14" s="12"/>
      <c r="B14" s="86"/>
      <c r="C14" s="12"/>
      <c r="D14" s="96"/>
      <c r="E14" s="12"/>
      <c r="F14" s="12"/>
      <c r="G14" s="12"/>
      <c r="H14" s="86"/>
      <c r="I14" s="12"/>
      <c r="J14" s="12"/>
      <c r="K14" s="12"/>
      <c r="L14" s="12"/>
    </row>
    <row r="15" ht="15.75" customHeight="1">
      <c r="A15" s="12"/>
      <c r="B15" s="86"/>
      <c r="C15" s="12"/>
      <c r="D15" s="96"/>
      <c r="E15" s="96"/>
      <c r="F15" s="12"/>
      <c r="G15" s="12"/>
      <c r="H15" s="12"/>
      <c r="I15" s="12"/>
      <c r="J15" s="12"/>
      <c r="K15" s="12"/>
      <c r="L15" s="12"/>
    </row>
    <row r="16" ht="15.75" customHeight="1">
      <c r="A16" s="105" t="s">
        <v>52</v>
      </c>
      <c r="I16" s="10"/>
      <c r="J16" s="10"/>
      <c r="K16" s="10"/>
      <c r="L16" s="10"/>
    </row>
    <row r="17" ht="15.75" customHeight="1">
      <c r="A17" s="10"/>
      <c r="B17" s="109"/>
      <c r="C17" s="10"/>
      <c r="D17" s="109"/>
      <c r="E17" s="10"/>
      <c r="F17" s="10"/>
      <c r="G17" s="10"/>
      <c r="H17" s="10"/>
      <c r="I17" s="10"/>
      <c r="J17" s="10"/>
      <c r="K17" s="10"/>
      <c r="L17" s="10"/>
    </row>
    <row r="18" ht="15.75" customHeight="1">
      <c r="A18" s="10"/>
      <c r="B18" s="109"/>
      <c r="C18" s="112"/>
      <c r="D18" s="112"/>
      <c r="E18" s="112"/>
      <c r="F18" s="112"/>
      <c r="G18" s="112"/>
      <c r="H18" s="10"/>
      <c r="I18" s="10"/>
      <c r="J18" s="10"/>
      <c r="K18" s="10"/>
      <c r="L18" s="10"/>
    </row>
    <row r="19" ht="15.75" customHeight="1">
      <c r="A19" s="116"/>
      <c r="B19" s="116" t="s">
        <v>57</v>
      </c>
      <c r="C19" s="118" t="s">
        <v>58</v>
      </c>
      <c r="D19" s="103"/>
      <c r="E19" s="103"/>
      <c r="F19" s="103"/>
      <c r="G19" s="16"/>
      <c r="H19" s="83"/>
      <c r="I19" s="10"/>
      <c r="J19" s="10"/>
      <c r="K19" s="10"/>
      <c r="L19" s="12"/>
    </row>
    <row r="20" ht="15.75" customHeight="1">
      <c r="A20" s="121" t="s">
        <v>59</v>
      </c>
      <c r="B20" s="122">
        <v>2023.0</v>
      </c>
      <c r="C20" s="125" t="s">
        <v>4</v>
      </c>
      <c r="D20" s="125" t="s">
        <v>6</v>
      </c>
      <c r="E20" s="125" t="s">
        <v>7</v>
      </c>
      <c r="F20" s="125" t="s">
        <v>8</v>
      </c>
      <c r="G20" s="125" t="s">
        <v>9</v>
      </c>
      <c r="H20" s="126" t="s">
        <v>61</v>
      </c>
      <c r="I20" s="128"/>
      <c r="J20" s="130" t="s">
        <v>65</v>
      </c>
      <c r="K20" s="6"/>
      <c r="L20" s="12"/>
    </row>
    <row r="21" ht="15.75" customHeight="1">
      <c r="A21" s="132" t="s">
        <v>10</v>
      </c>
      <c r="B21" s="136">
        <f t="shared" ref="B21:G21" si="7">G3</f>
        <v>3387200000</v>
      </c>
      <c r="C21" s="139">
        <f t="shared" si="7"/>
        <v>3936675370</v>
      </c>
      <c r="D21" s="139">
        <f t="shared" si="7"/>
        <v>4732754264</v>
      </c>
      <c r="E21" s="139">
        <f t="shared" si="7"/>
        <v>5879127293</v>
      </c>
      <c r="F21" s="139">
        <f t="shared" si="7"/>
        <v>7538341169</v>
      </c>
      <c r="G21" s="139">
        <f t="shared" si="7"/>
        <v>9967353888</v>
      </c>
      <c r="H21" s="142" t="s">
        <v>75</v>
      </c>
      <c r="I21" s="10"/>
      <c r="J21" s="83" t="s">
        <v>71</v>
      </c>
      <c r="K21" s="143">
        <v>0.3</v>
      </c>
      <c r="L21" s="12"/>
    </row>
    <row r="22" ht="15.75" customHeight="1">
      <c r="A22" s="132" t="s">
        <v>73</v>
      </c>
      <c r="B22" s="136">
        <f>23800000</f>
        <v>23800000</v>
      </c>
      <c r="C22" s="139">
        <f t="shared" ref="C22:G22" si="8">B22*(1+$H$22)</f>
        <v>27682794.73</v>
      </c>
      <c r="D22" s="139">
        <f t="shared" si="8"/>
        <v>32199038.83</v>
      </c>
      <c r="E22" s="139">
        <f t="shared" si="8"/>
        <v>37452074.89</v>
      </c>
      <c r="F22" s="139">
        <f t="shared" si="8"/>
        <v>43562105.1</v>
      </c>
      <c r="G22" s="139">
        <f t="shared" si="8"/>
        <v>50668941.74</v>
      </c>
      <c r="H22" s="150">
        <f>'Income Statement '!G8</f>
        <v>0.1631426357</v>
      </c>
      <c r="I22" s="10"/>
      <c r="J22" s="83" t="s">
        <v>78</v>
      </c>
      <c r="K22" s="62">
        <f>'Balance Sheet '!K8</f>
        <v>0.0432646559</v>
      </c>
      <c r="L22" s="12"/>
    </row>
    <row r="23" ht="15.75" customHeight="1">
      <c r="A23" s="83" t="s">
        <v>79</v>
      </c>
      <c r="B23" s="152">
        <f>'Income Statement '!F10</f>
        <v>3258300000</v>
      </c>
      <c r="C23" s="156">
        <f t="shared" ref="C23:G23" si="9">H5</f>
        <v>3852108019</v>
      </c>
      <c r="D23" s="156">
        <f t="shared" si="9"/>
        <v>4702440581</v>
      </c>
      <c r="E23" s="156">
        <f t="shared" si="9"/>
        <v>5921523542</v>
      </c>
      <c r="F23" s="156">
        <f t="shared" si="9"/>
        <v>7684625997</v>
      </c>
      <c r="G23" s="156">
        <f t="shared" si="9"/>
        <v>10268541026</v>
      </c>
      <c r="H23" s="159" t="s">
        <v>81</v>
      </c>
      <c r="I23" s="10"/>
      <c r="J23" s="83" t="s">
        <v>82</v>
      </c>
      <c r="K23" s="162">
        <f>WACC!B13</f>
        <v>0.0573205721</v>
      </c>
      <c r="L23" s="12"/>
    </row>
    <row r="24" ht="15.75" customHeight="1">
      <c r="A24" s="166" t="s">
        <v>83</v>
      </c>
      <c r="B24" s="167">
        <f>'Income Statement '!F15*-1</f>
        <v>101900000</v>
      </c>
      <c r="C24" s="156">
        <f>'Balance Sheet '!J15</f>
        <v>67750389.99</v>
      </c>
      <c r="D24" s="156">
        <f>'Balance Sheet '!K15</f>
        <v>62069287.86</v>
      </c>
      <c r="E24" s="156">
        <f>'Balance Sheet '!L15</f>
        <v>56864565.6</v>
      </c>
      <c r="F24" s="156">
        <f>'Balance Sheet '!M15</f>
        <v>52096277.11</v>
      </c>
      <c r="G24" s="156">
        <f>'Balance Sheet '!O15</f>
        <v>47727825.94</v>
      </c>
      <c r="H24" s="170" t="s">
        <v>89</v>
      </c>
      <c r="I24" s="171"/>
      <c r="J24" s="83" t="s">
        <v>90</v>
      </c>
      <c r="K24" s="162">
        <f>Cashflow!H18</f>
        <v>0.02194666336</v>
      </c>
      <c r="L24" s="12"/>
    </row>
    <row r="25" ht="15.75" customHeight="1">
      <c r="A25" s="173" t="s">
        <v>19</v>
      </c>
      <c r="B25" s="176">
        <f t="shared" ref="B25:G25" si="10">B21+B22-B23-B24</f>
        <v>50800000</v>
      </c>
      <c r="C25" s="177">
        <f t="shared" si="10"/>
        <v>44499756.29</v>
      </c>
      <c r="D25" s="177">
        <f t="shared" si="10"/>
        <v>443434.1459</v>
      </c>
      <c r="E25" s="177">
        <f t="shared" si="10"/>
        <v>-61808739.67</v>
      </c>
      <c r="F25" s="177">
        <f t="shared" si="10"/>
        <v>-154819000</v>
      </c>
      <c r="G25" s="177">
        <f t="shared" si="10"/>
        <v>-298246023</v>
      </c>
      <c r="H25" s="179"/>
      <c r="I25" s="10"/>
      <c r="J25" s="83" t="s">
        <v>91</v>
      </c>
      <c r="K25" s="70">
        <v>0.025</v>
      </c>
      <c r="L25" s="12"/>
    </row>
    <row r="26" ht="15.75" customHeight="1">
      <c r="A26" s="181" t="s">
        <v>92</v>
      </c>
      <c r="B26" s="167"/>
      <c r="C26" s="182">
        <f t="shared" ref="C26:G26" si="11">C25*$K$21</f>
        <v>13349926.89</v>
      </c>
      <c r="D26" s="182">
        <f t="shared" si="11"/>
        <v>133030.2438</v>
      </c>
      <c r="E26" s="182">
        <f t="shared" si="11"/>
        <v>-18542621.9</v>
      </c>
      <c r="F26" s="182">
        <f t="shared" si="11"/>
        <v>-46445699.99</v>
      </c>
      <c r="G26" s="182">
        <f t="shared" si="11"/>
        <v>-89473806.89</v>
      </c>
      <c r="H26" s="49"/>
      <c r="I26" s="10"/>
      <c r="J26" s="10"/>
      <c r="K26" s="184"/>
      <c r="L26" s="12"/>
    </row>
    <row r="27" ht="15.75" customHeight="1">
      <c r="A27" s="186" t="s">
        <v>93</v>
      </c>
      <c r="B27" s="188"/>
      <c r="C27" s="191">
        <f t="shared" ref="C27:G27" si="12">C25-C26</f>
        <v>31149829.4</v>
      </c>
      <c r="D27" s="193">
        <f t="shared" si="12"/>
        <v>310403.9021</v>
      </c>
      <c r="E27" s="193">
        <f t="shared" si="12"/>
        <v>-43266117.77</v>
      </c>
      <c r="F27" s="193">
        <f t="shared" si="12"/>
        <v>-108373300</v>
      </c>
      <c r="G27" s="195">
        <f t="shared" si="12"/>
        <v>-208772216.1</v>
      </c>
      <c r="H27" s="196"/>
      <c r="I27" s="10"/>
      <c r="J27" s="10"/>
      <c r="K27" s="197"/>
      <c r="L27" s="12"/>
    </row>
    <row r="28" ht="15.75" customHeight="1">
      <c r="A28" s="199" t="s">
        <v>94</v>
      </c>
      <c r="B28" s="136"/>
      <c r="C28" s="139"/>
      <c r="D28" s="139"/>
      <c r="E28" s="139"/>
      <c r="F28" s="139"/>
      <c r="G28" s="139"/>
      <c r="H28" s="83"/>
      <c r="I28" s="10"/>
      <c r="J28" s="10"/>
      <c r="K28" s="109"/>
      <c r="L28" s="12"/>
    </row>
    <row r="29" ht="15.75" customHeight="1">
      <c r="A29" s="83" t="s">
        <v>83</v>
      </c>
      <c r="B29" s="152">
        <f t="shared" ref="B29:G29" si="13">B24</f>
        <v>101900000</v>
      </c>
      <c r="C29" s="156">
        <f t="shared" si="13"/>
        <v>67750389.99</v>
      </c>
      <c r="D29" s="156">
        <f t="shared" si="13"/>
        <v>62069287.86</v>
      </c>
      <c r="E29" s="156">
        <f t="shared" si="13"/>
        <v>56864565.6</v>
      </c>
      <c r="F29" s="156">
        <f t="shared" si="13"/>
        <v>52096277.11</v>
      </c>
      <c r="G29" s="156">
        <f t="shared" si="13"/>
        <v>47727825.94</v>
      </c>
      <c r="H29" s="12"/>
      <c r="I29" s="10"/>
      <c r="J29" s="10"/>
      <c r="K29" s="10"/>
      <c r="L29" s="12"/>
    </row>
    <row r="30" ht="15.75" customHeight="1">
      <c r="A30" s="116" t="s">
        <v>95</v>
      </c>
      <c r="B30" s="152"/>
      <c r="C30" s="156"/>
      <c r="D30" s="156"/>
      <c r="E30" s="156"/>
      <c r="F30" s="156"/>
      <c r="G30" s="156"/>
      <c r="H30" s="70"/>
      <c r="I30" s="10"/>
      <c r="J30" s="10"/>
      <c r="K30" s="10"/>
      <c r="L30" s="12"/>
    </row>
    <row r="31" ht="15.75" customHeight="1">
      <c r="A31" s="83" t="s">
        <v>96</v>
      </c>
      <c r="B31" s="152"/>
      <c r="C31" s="203">
        <f t="shared" ref="C31:G31" si="14">C41</f>
        <v>23772862.83</v>
      </c>
      <c r="D31" s="203">
        <f t="shared" si="14"/>
        <v>34442079.42</v>
      </c>
      <c r="E31" s="203">
        <f t="shared" si="14"/>
        <v>49597434.61</v>
      </c>
      <c r="F31" s="203">
        <f t="shared" si="14"/>
        <v>71785317.44</v>
      </c>
      <c r="G31" s="203">
        <f t="shared" si="14"/>
        <v>105090399.4</v>
      </c>
      <c r="H31" s="205" t="s">
        <v>97</v>
      </c>
      <c r="I31" s="10"/>
      <c r="J31" s="112"/>
      <c r="K31" s="10"/>
      <c r="L31" s="12"/>
    </row>
    <row r="32" ht="15.75" customHeight="1">
      <c r="A32" s="83" t="s">
        <v>98</v>
      </c>
      <c r="B32" s="152">
        <f>Cashflow!G13</f>
        <v>71800000</v>
      </c>
      <c r="C32" s="207">
        <f t="shared" ref="C32:G32" si="15">C21*$K$24</f>
        <v>86396889.11</v>
      </c>
      <c r="D32" s="207">
        <f t="shared" si="15"/>
        <v>103868164.6</v>
      </c>
      <c r="E32" s="207">
        <f t="shared" si="15"/>
        <v>129027227.5</v>
      </c>
      <c r="F32" s="207">
        <f t="shared" si="15"/>
        <v>165441435.9</v>
      </c>
      <c r="G32" s="207">
        <f t="shared" si="15"/>
        <v>218750160.4</v>
      </c>
      <c r="H32" s="83"/>
      <c r="I32" s="10"/>
      <c r="J32" s="10"/>
      <c r="K32" s="10"/>
      <c r="L32" s="12"/>
    </row>
    <row r="33" ht="15.75" customHeight="1">
      <c r="A33" s="116" t="s">
        <v>99</v>
      </c>
      <c r="B33" s="209"/>
      <c r="C33" s="211">
        <f t="shared" ref="C33:G33" si="16">C27+C29-C31-C32</f>
        <v>-11269532.55</v>
      </c>
      <c r="D33" s="211">
        <f t="shared" si="16"/>
        <v>-75930552.26</v>
      </c>
      <c r="E33" s="211">
        <f t="shared" si="16"/>
        <v>-165026214.3</v>
      </c>
      <c r="F33" s="211">
        <f t="shared" si="16"/>
        <v>-293503776.2</v>
      </c>
      <c r="G33" s="211">
        <f t="shared" si="16"/>
        <v>-484884949.9</v>
      </c>
      <c r="H33" s="143"/>
      <c r="I33" s="10"/>
      <c r="J33" s="10"/>
      <c r="K33" s="10"/>
      <c r="L33" s="12"/>
    </row>
    <row r="34" ht="15.75" customHeight="1">
      <c r="A34" s="213" t="s">
        <v>100</v>
      </c>
      <c r="B34" s="214">
        <v>0.0</v>
      </c>
      <c r="C34" s="215">
        <v>1.0</v>
      </c>
      <c r="D34" s="216">
        <v>2.0</v>
      </c>
      <c r="E34" s="216">
        <v>3.0</v>
      </c>
      <c r="F34" s="216">
        <v>4.0</v>
      </c>
      <c r="G34" s="216">
        <v>5.0</v>
      </c>
      <c r="H34" s="83"/>
      <c r="I34" s="10"/>
      <c r="J34" s="10"/>
      <c r="K34" s="10"/>
      <c r="L34" s="12"/>
    </row>
    <row r="35" ht="15.75" customHeight="1">
      <c r="A35" s="83" t="s">
        <v>101</v>
      </c>
      <c r="B35" s="219"/>
      <c r="C35" s="223">
        <f t="shared" ref="C35:G35" si="17">C33/((1+$K$23)^C34)</f>
        <v>-10658576.82</v>
      </c>
      <c r="D35" s="223">
        <f t="shared" si="17"/>
        <v>-67920862.79</v>
      </c>
      <c r="E35" s="223">
        <f t="shared" si="17"/>
        <v>-139615260.3</v>
      </c>
      <c r="F35" s="223">
        <f t="shared" si="17"/>
        <v>-234848053.1</v>
      </c>
      <c r="G35" s="223">
        <f t="shared" si="17"/>
        <v>-366948649</v>
      </c>
      <c r="H35" s="225" t="s">
        <v>102</v>
      </c>
      <c r="I35" s="10"/>
      <c r="J35" s="10"/>
      <c r="K35" s="10"/>
      <c r="L35" s="12"/>
    </row>
    <row r="36" ht="15.75" customHeight="1">
      <c r="A36" s="83" t="s">
        <v>103</v>
      </c>
      <c r="B36" s="226"/>
      <c r="C36" s="156"/>
      <c r="D36" s="156"/>
      <c r="E36" s="156"/>
      <c r="F36" s="156"/>
      <c r="G36" s="229">
        <f>G33*(1+K25)/(K23-K25)</f>
        <v>-15377421913</v>
      </c>
      <c r="H36" s="225" t="s">
        <v>104</v>
      </c>
      <c r="I36" s="10"/>
      <c r="J36" s="10"/>
      <c r="K36" s="10"/>
      <c r="L36" s="12"/>
    </row>
    <row r="37" ht="15.75" customHeight="1">
      <c r="A37" s="230" t="s">
        <v>105</v>
      </c>
      <c r="B37" s="233">
        <f>SUM(C35:G35,G36)</f>
        <v>-16197413314</v>
      </c>
      <c r="C37" s="182"/>
      <c r="D37" s="156"/>
      <c r="E37" s="156"/>
      <c r="F37" s="156"/>
      <c r="G37" s="156"/>
      <c r="H37" s="83"/>
      <c r="I37" s="10"/>
      <c r="J37" s="10"/>
      <c r="K37" s="10"/>
      <c r="L37" s="12"/>
    </row>
    <row r="38" ht="15.75" customHeight="1">
      <c r="A38" s="235"/>
      <c r="B38" s="233"/>
      <c r="C38" s="182"/>
      <c r="D38" s="156"/>
      <c r="E38" s="156"/>
      <c r="F38" s="156"/>
      <c r="G38" s="156"/>
      <c r="H38" s="83"/>
      <c r="I38" s="10"/>
      <c r="J38" s="10"/>
      <c r="K38" s="10"/>
      <c r="L38" s="12"/>
    </row>
    <row r="39" ht="15.75" customHeight="1">
      <c r="A39" s="237" t="s">
        <v>107</v>
      </c>
      <c r="B39" s="17">
        <v>2023.0</v>
      </c>
      <c r="C39" s="239" t="s">
        <v>4</v>
      </c>
      <c r="D39" s="239" t="str">
        <f t="shared" ref="D39:G39" si="18">D20</f>
        <v>2025E</v>
      </c>
      <c r="E39" s="239" t="str">
        <f t="shared" si="18"/>
        <v>2026E</v>
      </c>
      <c r="F39" s="239" t="str">
        <f t="shared" si="18"/>
        <v>2027E</v>
      </c>
      <c r="G39" s="239" t="str">
        <f t="shared" si="18"/>
        <v>2028E</v>
      </c>
      <c r="H39" s="83"/>
      <c r="I39" s="10"/>
      <c r="J39" s="10"/>
      <c r="K39" s="10"/>
      <c r="L39" s="12"/>
    </row>
    <row r="40" ht="15.75" customHeight="1">
      <c r="A40" s="12" t="s">
        <v>109</v>
      </c>
      <c r="B40" s="49">
        <f t="shared" ref="B40:G40" si="19">B21*$K$22</f>
        <v>146546042.5</v>
      </c>
      <c r="C40" s="49">
        <f t="shared" si="19"/>
        <v>170318905.3</v>
      </c>
      <c r="D40" s="49">
        <f t="shared" si="19"/>
        <v>204760984.7</v>
      </c>
      <c r="E40" s="49">
        <f t="shared" si="19"/>
        <v>254358419.3</v>
      </c>
      <c r="F40" s="49">
        <f t="shared" si="19"/>
        <v>326143736.8</v>
      </c>
      <c r="G40" s="49">
        <f t="shared" si="19"/>
        <v>431234136.2</v>
      </c>
      <c r="H40" s="248"/>
      <c r="I40" s="10"/>
      <c r="J40" s="10"/>
      <c r="K40" s="10"/>
      <c r="L40" s="12"/>
    </row>
    <row r="41" ht="15.75" customHeight="1">
      <c r="A41" s="77" t="s">
        <v>113</v>
      </c>
      <c r="B41" s="250"/>
      <c r="C41" s="55">
        <f t="shared" ref="C41:G41" si="20">C40-B40</f>
        <v>23772862.83</v>
      </c>
      <c r="D41" s="55">
        <f t="shared" si="20"/>
        <v>34442079.42</v>
      </c>
      <c r="E41" s="55">
        <f t="shared" si="20"/>
        <v>49597434.61</v>
      </c>
      <c r="F41" s="55">
        <f t="shared" si="20"/>
        <v>71785317.44</v>
      </c>
      <c r="G41" s="55">
        <f t="shared" si="20"/>
        <v>105090399.4</v>
      </c>
      <c r="H41" s="254"/>
      <c r="I41" s="7"/>
      <c r="J41" s="7"/>
      <c r="K41" s="7"/>
    </row>
    <row r="42" ht="15.75" customHeight="1">
      <c r="H42" s="7"/>
      <c r="I42" s="7"/>
      <c r="L42" s="7"/>
    </row>
    <row r="43" ht="15.75" customHeight="1">
      <c r="B43" s="85"/>
      <c r="C43" s="85"/>
      <c r="D43" s="85"/>
      <c r="E43" s="85"/>
      <c r="F43" s="85"/>
      <c r="G43" s="85"/>
    </row>
    <row r="44" ht="15.75" customHeight="1">
      <c r="A44" s="256" t="s">
        <v>116</v>
      </c>
      <c r="B44" s="258"/>
      <c r="C44" s="260"/>
    </row>
    <row r="45" ht="15.75" customHeight="1">
      <c r="A45" s="261" t="s">
        <v>117</v>
      </c>
      <c r="B45" s="263" t="s">
        <v>119</v>
      </c>
      <c r="C45" s="265" t="s">
        <v>105</v>
      </c>
    </row>
    <row r="46" ht="15.75" customHeight="1">
      <c r="A46" s="267">
        <v>0.03</v>
      </c>
      <c r="B46" s="271">
        <v>-1.22649307395E9</v>
      </c>
      <c r="C46" s="273">
        <v>-4.083446498772E10</v>
      </c>
    </row>
    <row r="47" ht="15.75" customHeight="1">
      <c r="A47" s="267">
        <v>0.035</v>
      </c>
      <c r="B47" s="271">
        <v>-8.6405425608E8</v>
      </c>
      <c r="C47" s="273">
        <v>-2.8790448649E10</v>
      </c>
    </row>
    <row r="48" ht="15.75" customHeight="1">
      <c r="A48" s="267">
        <v>0.04</v>
      </c>
      <c r="B48" s="271" t="s">
        <v>122</v>
      </c>
      <c r="C48" s="273" t="s">
        <v>123</v>
      </c>
    </row>
    <row r="49" ht="15.75" customHeight="1">
      <c r="A49" s="267">
        <v>0.045</v>
      </c>
      <c r="B49" s="271">
        <v>-8.844452805E7</v>
      </c>
      <c r="C49" s="273">
        <v>-3.037718872E9</v>
      </c>
    </row>
    <row r="50" ht="15.75" customHeight="1">
      <c r="A50" s="278">
        <v>0.046</v>
      </c>
      <c r="B50" s="280">
        <v>-7035579.0</v>
      </c>
      <c r="C50" s="281">
        <v>-3.36203993E8</v>
      </c>
    </row>
    <row r="51" ht="15.75" customHeight="1">
      <c r="A51" s="282">
        <v>0.047</v>
      </c>
      <c r="B51" s="287">
        <f>'Fundamental Valuation'!G31</f>
        <v>75090697.13</v>
      </c>
      <c r="C51" s="290">
        <f>'Fundamental Valuation'!B35</f>
        <v>2388841309</v>
      </c>
    </row>
    <row r="52" ht="15.75" customHeight="1">
      <c r="A52" s="267">
        <v>0.05</v>
      </c>
      <c r="B52" s="271">
        <v>3.25818381E8</v>
      </c>
      <c r="C52" s="273">
        <v>1.0706624269E10</v>
      </c>
    </row>
    <row r="53" ht="15.75" customHeight="1">
      <c r="A53" s="267">
        <v>0.055</v>
      </c>
      <c r="B53" s="271">
        <v>7.5846598996E8</v>
      </c>
      <c r="C53" s="273">
        <v>2.505395832531E10</v>
      </c>
    </row>
    <row r="54" ht="15.75" customHeight="1">
      <c r="A54" s="293">
        <v>0.06</v>
      </c>
      <c r="B54" s="294">
        <v>1.2100714483E9</v>
      </c>
      <c r="C54" s="295">
        <v>4.002298127697E10</v>
      </c>
    </row>
    <row r="55" ht="15.75" customHeight="1">
      <c r="A55" s="296"/>
      <c r="B55" s="297"/>
      <c r="C55" s="297"/>
    </row>
    <row r="56" ht="15.75" customHeight="1">
      <c r="A56" s="296"/>
      <c r="B56" s="297"/>
      <c r="C56" s="297"/>
    </row>
    <row r="57" ht="15.75" customHeight="1">
      <c r="A57" s="299"/>
    </row>
    <row r="58" ht="28.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G1"/>
    <mergeCell ref="A16:H16"/>
    <mergeCell ref="C19:G19"/>
    <mergeCell ref="J20:K20"/>
    <mergeCell ref="A44:C4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1.22" defaultRowHeight="15.0"/>
  <cols>
    <col customWidth="1" min="1" max="1" width="40.0"/>
    <col customWidth="1" min="2" max="2" width="33.11"/>
    <col customWidth="1" min="3" max="3" width="33.33"/>
    <col customWidth="1" min="4" max="6" width="20.44"/>
    <col customWidth="1" min="7" max="7" width="22.0"/>
    <col customWidth="1" min="8" max="8" width="28.0"/>
    <col customWidth="1" min="9" max="9" width="23.44"/>
    <col customWidth="1" min="10" max="10" width="20.44"/>
    <col customWidth="1" min="11" max="11" width="20.67"/>
    <col customWidth="1" min="12" max="12" width="21.78"/>
    <col customWidth="1" min="13" max="26" width="11.44"/>
  </cols>
  <sheetData>
    <row r="1" ht="28.5" customHeight="1">
      <c r="A1" s="1"/>
      <c r="B1" s="1"/>
      <c r="C1" s="3" t="s">
        <v>1</v>
      </c>
      <c r="D1" s="5"/>
      <c r="E1" s="5"/>
      <c r="F1" s="5"/>
      <c r="G1" s="5"/>
      <c r="H1" s="7"/>
      <c r="I1" s="7"/>
      <c r="J1" s="7"/>
      <c r="K1" s="7"/>
    </row>
    <row r="2" ht="15.75" customHeight="1">
      <c r="A2" s="11"/>
      <c r="B2" s="15">
        <v>2018.0</v>
      </c>
      <c r="C2" s="15">
        <v>2019.0</v>
      </c>
      <c r="D2" s="15">
        <v>2020.0</v>
      </c>
      <c r="E2" s="15">
        <v>2021.0</v>
      </c>
      <c r="F2" s="15">
        <v>2022.0</v>
      </c>
      <c r="G2" s="15">
        <v>2023.0</v>
      </c>
      <c r="H2" s="18" t="s">
        <v>4</v>
      </c>
      <c r="I2" s="18" t="s">
        <v>6</v>
      </c>
      <c r="J2" s="18" t="s">
        <v>7</v>
      </c>
      <c r="K2" s="18" t="s">
        <v>8</v>
      </c>
      <c r="L2" s="18" t="s">
        <v>9</v>
      </c>
    </row>
    <row r="3" ht="15.75" customHeight="1">
      <c r="A3" s="32" t="s">
        <v>10</v>
      </c>
      <c r="B3" s="33">
        <v>1.445018E9</v>
      </c>
      <c r="C3" s="37">
        <f>'Income Statement '!B3</f>
        <v>1427167000</v>
      </c>
      <c r="D3" s="37">
        <f>'Income Statement '!C3</f>
        <v>1501079000</v>
      </c>
      <c r="E3" s="37">
        <f>'Income Statement '!D3</f>
        <v>2081600000</v>
      </c>
      <c r="F3" s="37">
        <f>'Income Statement '!E3</f>
        <v>3018300000</v>
      </c>
      <c r="G3" s="37">
        <f>'Income Statement '!F3</f>
        <v>3387200000</v>
      </c>
      <c r="H3" s="39">
        <f t="shared" ref="H3:L3" si="1">G3*(1+(G7+$B$11))</f>
        <v>3960385770</v>
      </c>
      <c r="I3" s="37">
        <f t="shared" si="1"/>
        <v>4816704809</v>
      </c>
      <c r="J3" s="37">
        <f t="shared" si="1"/>
        <v>6084563233</v>
      </c>
      <c r="K3" s="37">
        <f t="shared" si="1"/>
        <v>7972123241</v>
      </c>
      <c r="L3" s="37">
        <f t="shared" si="1"/>
        <v>10819934016</v>
      </c>
    </row>
    <row r="4" ht="15.75" customHeight="1">
      <c r="A4" s="32" t="s">
        <v>19</v>
      </c>
      <c r="B4" s="37">
        <v>7.6552E7</v>
      </c>
      <c r="C4" s="37">
        <f>'Income Statement '!B16</f>
        <v>82964000</v>
      </c>
      <c r="D4" s="37">
        <f>'Income Statement '!C16</f>
        <v>43068000</v>
      </c>
      <c r="E4" s="37">
        <f>'Income Statement '!D16</f>
        <v>73000000</v>
      </c>
      <c r="F4" s="37">
        <f>'Income Statement '!E16</f>
        <v>75100000</v>
      </c>
      <c r="G4" s="37">
        <f>'Income Statement '!F16</f>
        <v>50800000</v>
      </c>
      <c r="H4" s="37">
        <f t="shared" ref="H4:L4" si="2">G4/G3*H3</f>
        <v>59396432.79</v>
      </c>
      <c r="I4" s="37">
        <f t="shared" si="2"/>
        <v>72239195.88</v>
      </c>
      <c r="J4" s="37">
        <f t="shared" si="2"/>
        <v>91254077.77</v>
      </c>
      <c r="K4" s="37">
        <f t="shared" si="2"/>
        <v>119563019.8</v>
      </c>
      <c r="L4" s="37">
        <f t="shared" si="2"/>
        <v>162273455.4</v>
      </c>
    </row>
    <row r="5" ht="15.75" customHeight="1">
      <c r="A5" s="32" t="s">
        <v>25</v>
      </c>
      <c r="B5" s="54"/>
      <c r="C5" s="55">
        <f>'Income Statement '!B10</f>
        <v>1308638000</v>
      </c>
      <c r="D5" s="55">
        <f>'Income Statement '!C10</f>
        <v>1419032000</v>
      </c>
      <c r="E5" s="55">
        <f>'Income Statement '!D10</f>
        <v>1966300000</v>
      </c>
      <c r="F5" s="55">
        <f>'Income Statement '!E10</f>
        <v>2848800000</v>
      </c>
      <c r="G5" s="55">
        <f>'Income Statement '!F10</f>
        <v>3258300000</v>
      </c>
      <c r="H5" s="55">
        <f t="shared" ref="H5:L5" si="3">G5*(1+(G6+($B$12)))</f>
        <v>3954744469</v>
      </c>
      <c r="I5" s="55">
        <f t="shared" si="3"/>
        <v>5076882389</v>
      </c>
      <c r="J5" s="55">
        <f t="shared" si="3"/>
        <v>6872802802</v>
      </c>
      <c r="K5" s="55">
        <f t="shared" si="3"/>
        <v>9785116801</v>
      </c>
      <c r="L5" s="55">
        <f t="shared" si="3"/>
        <v>14616466700</v>
      </c>
    </row>
    <row r="6" ht="15.75" customHeight="1">
      <c r="A6" s="32" t="s">
        <v>33</v>
      </c>
      <c r="B6" s="54"/>
      <c r="C6" s="54"/>
      <c r="D6" s="58">
        <f t="shared" ref="D6:L6" si="4">(D5-C5)/C5</f>
        <v>0.0843579355</v>
      </c>
      <c r="E6" s="58">
        <f t="shared" si="4"/>
        <v>0.3856629026</v>
      </c>
      <c r="F6" s="58">
        <f t="shared" si="4"/>
        <v>0.4488124905</v>
      </c>
      <c r="G6" s="58">
        <f t="shared" si="4"/>
        <v>0.1437447346</v>
      </c>
      <c r="H6" s="58">
        <f t="shared" si="4"/>
        <v>0.2137447346</v>
      </c>
      <c r="I6" s="58">
        <f t="shared" si="4"/>
        <v>0.2837447346</v>
      </c>
      <c r="J6" s="58">
        <f t="shared" si="4"/>
        <v>0.3537447346</v>
      </c>
      <c r="K6" s="58">
        <f t="shared" si="4"/>
        <v>0.4237447346</v>
      </c>
      <c r="L6" s="58">
        <f t="shared" si="4"/>
        <v>0.4937447346</v>
      </c>
    </row>
    <row r="7" ht="15.75" customHeight="1">
      <c r="A7" s="32" t="s">
        <v>35</v>
      </c>
      <c r="B7" s="63"/>
      <c r="C7" s="58">
        <f t="shared" ref="C7:L7" si="5">(C3-B3)/B3</f>
        <v>-0.01235347933</v>
      </c>
      <c r="D7" s="58">
        <f t="shared" si="5"/>
        <v>0.05178931407</v>
      </c>
      <c r="E7" s="58">
        <f t="shared" si="5"/>
        <v>0.386735808</v>
      </c>
      <c r="F7" s="58">
        <f t="shared" si="5"/>
        <v>0.449990392</v>
      </c>
      <c r="G7" s="58">
        <f t="shared" si="5"/>
        <v>0.1222211178</v>
      </c>
      <c r="H7" s="58">
        <f t="shared" si="5"/>
        <v>0.1692211178</v>
      </c>
      <c r="I7" s="58">
        <f t="shared" si="5"/>
        <v>0.2162211178</v>
      </c>
      <c r="J7" s="58">
        <f t="shared" si="5"/>
        <v>0.2632211178</v>
      </c>
      <c r="K7" s="58">
        <f t="shared" si="5"/>
        <v>0.3102211178</v>
      </c>
      <c r="L7" s="58">
        <f t="shared" si="5"/>
        <v>0.3572211178</v>
      </c>
    </row>
    <row r="8" ht="15.75" customHeight="1">
      <c r="A8" s="32" t="s">
        <v>36</v>
      </c>
      <c r="B8" s="63">
        <f t="shared" ref="B8:L8" si="6">B4/B3</f>
        <v>0.05297650271</v>
      </c>
      <c r="C8" s="63">
        <f t="shared" si="6"/>
        <v>0.05813194952</v>
      </c>
      <c r="D8" s="63">
        <f t="shared" si="6"/>
        <v>0.02869136135</v>
      </c>
      <c r="E8" s="63">
        <f t="shared" si="6"/>
        <v>0.03506917756</v>
      </c>
      <c r="F8" s="63">
        <f t="shared" si="6"/>
        <v>0.02488155584</v>
      </c>
      <c r="G8" s="63">
        <f t="shared" si="6"/>
        <v>0.01499763817</v>
      </c>
      <c r="H8" s="63">
        <f t="shared" si="6"/>
        <v>0.01499763817</v>
      </c>
      <c r="I8" s="63">
        <f t="shared" si="6"/>
        <v>0.01499763817</v>
      </c>
      <c r="J8" s="63">
        <f t="shared" si="6"/>
        <v>0.01499763817</v>
      </c>
      <c r="K8" s="63">
        <f t="shared" si="6"/>
        <v>0.01499763817</v>
      </c>
      <c r="L8" s="63">
        <f t="shared" si="6"/>
        <v>0.01499763817</v>
      </c>
    </row>
    <row r="9" ht="15.75" customHeight="1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</row>
    <row r="10" ht="15.75" customHeight="1">
      <c r="D10" s="42"/>
      <c r="E10" s="42"/>
      <c r="F10" s="42"/>
      <c r="G10" s="42"/>
      <c r="H10" s="76"/>
      <c r="I10" s="76"/>
      <c r="J10" s="76"/>
      <c r="K10" s="76"/>
      <c r="L10" s="76"/>
    </row>
    <row r="11" ht="15.75" customHeight="1">
      <c r="A11" s="77" t="s">
        <v>43</v>
      </c>
      <c r="B11" s="78">
        <v>0.047</v>
      </c>
      <c r="C11" s="77" t="s">
        <v>44</v>
      </c>
      <c r="D11" s="79"/>
      <c r="E11" s="79"/>
      <c r="F11" s="79"/>
      <c r="G11" s="79"/>
      <c r="H11" s="79"/>
      <c r="I11" s="79"/>
      <c r="J11" s="79"/>
      <c r="K11" s="79"/>
      <c r="L11" s="79"/>
    </row>
    <row r="12" ht="15.75" customHeight="1">
      <c r="A12" s="7" t="s">
        <v>45</v>
      </c>
      <c r="B12" s="78">
        <v>0.07</v>
      </c>
      <c r="C12" s="82" t="s">
        <v>46</v>
      </c>
      <c r="D12" s="85"/>
      <c r="E12" s="42" t="s">
        <v>51</v>
      </c>
      <c r="F12" s="42"/>
      <c r="H12" s="42"/>
      <c r="I12" s="42"/>
      <c r="J12" s="42"/>
      <c r="K12" s="42"/>
      <c r="L12" s="42"/>
    </row>
    <row r="13" ht="15.75" customHeight="1">
      <c r="B13" s="42"/>
      <c r="D13" s="85"/>
      <c r="H13" s="42"/>
    </row>
    <row r="14" ht="15.75" customHeight="1">
      <c r="B14" s="42"/>
      <c r="D14" s="85"/>
      <c r="H14" s="42"/>
    </row>
    <row r="15" ht="15.75" customHeight="1">
      <c r="B15" s="42"/>
      <c r="D15" s="85"/>
      <c r="E15" s="85"/>
    </row>
    <row r="16" ht="15.75" customHeight="1">
      <c r="A16" s="92" t="s">
        <v>52</v>
      </c>
      <c r="I16" s="93"/>
      <c r="J16" s="93"/>
      <c r="K16" s="93"/>
      <c r="L16" s="93"/>
    </row>
    <row r="17" ht="15.75" customHeight="1">
      <c r="A17" s="7"/>
      <c r="B17" s="98"/>
      <c r="C17" s="7"/>
      <c r="D17" s="98"/>
      <c r="E17" s="7"/>
      <c r="F17" s="7"/>
      <c r="G17" s="7"/>
      <c r="H17" s="7"/>
      <c r="I17" s="7"/>
      <c r="J17" s="7"/>
      <c r="K17" s="7"/>
      <c r="L17" s="7"/>
    </row>
    <row r="18" ht="15.75" customHeight="1">
      <c r="A18" s="7"/>
      <c r="B18" s="98"/>
      <c r="C18" s="100"/>
      <c r="D18" s="100"/>
      <c r="E18" s="100"/>
      <c r="F18" s="100"/>
      <c r="G18" s="100"/>
      <c r="H18" s="7"/>
      <c r="I18" s="7"/>
      <c r="J18" s="7"/>
      <c r="K18" s="7"/>
      <c r="L18" s="7"/>
    </row>
    <row r="19" ht="15.75" customHeight="1">
      <c r="A19" s="101"/>
      <c r="B19" s="101" t="s">
        <v>57</v>
      </c>
      <c r="C19" s="102" t="s">
        <v>58</v>
      </c>
      <c r="D19" s="103"/>
      <c r="E19" s="103"/>
      <c r="F19" s="103"/>
      <c r="G19" s="16"/>
      <c r="H19" s="75"/>
      <c r="I19" s="7"/>
      <c r="J19" s="7"/>
      <c r="K19" s="7"/>
    </row>
    <row r="20" ht="15.75" customHeight="1">
      <c r="A20" s="106" t="s">
        <v>59</v>
      </c>
      <c r="B20" s="107">
        <v>2023.0</v>
      </c>
      <c r="C20" s="110" t="s">
        <v>4</v>
      </c>
      <c r="D20" s="110" t="s">
        <v>6</v>
      </c>
      <c r="E20" s="110" t="s">
        <v>7</v>
      </c>
      <c r="F20" s="110" t="s">
        <v>8</v>
      </c>
      <c r="G20" s="110" t="s">
        <v>9</v>
      </c>
      <c r="H20" s="114" t="s">
        <v>61</v>
      </c>
      <c r="I20" s="115"/>
      <c r="J20" s="117" t="s">
        <v>65</v>
      </c>
      <c r="K20" s="6"/>
    </row>
    <row r="21" ht="15.75" customHeight="1">
      <c r="A21" s="119" t="s">
        <v>10</v>
      </c>
      <c r="B21" s="124">
        <f t="shared" ref="B21:G21" si="7">G3</f>
        <v>3387200000</v>
      </c>
      <c r="C21" s="127">
        <f t="shared" si="7"/>
        <v>3960385770</v>
      </c>
      <c r="D21" s="127">
        <f t="shared" si="7"/>
        <v>4816704809</v>
      </c>
      <c r="E21" s="127">
        <f t="shared" si="7"/>
        <v>6084563233</v>
      </c>
      <c r="F21" s="127">
        <f t="shared" si="7"/>
        <v>7972123241</v>
      </c>
      <c r="G21" s="127">
        <f t="shared" si="7"/>
        <v>10819934016</v>
      </c>
      <c r="H21" s="133" t="s">
        <v>72</v>
      </c>
      <c r="I21" s="7"/>
      <c r="J21" s="75" t="s">
        <v>71</v>
      </c>
      <c r="K21" s="138">
        <v>0.3</v>
      </c>
    </row>
    <row r="22" ht="15.75" customHeight="1">
      <c r="A22" s="119" t="s">
        <v>73</v>
      </c>
      <c r="B22" s="124">
        <f>23800000</f>
        <v>23800000</v>
      </c>
      <c r="C22" s="127">
        <f t="shared" ref="C22:G22" si="8">B22*(1+$H$22)</f>
        <v>27682794.73</v>
      </c>
      <c r="D22" s="127">
        <f t="shared" si="8"/>
        <v>32199038.83</v>
      </c>
      <c r="E22" s="127">
        <f t="shared" si="8"/>
        <v>37452074.89</v>
      </c>
      <c r="F22" s="127">
        <f t="shared" si="8"/>
        <v>43562105.1</v>
      </c>
      <c r="G22" s="127">
        <f t="shared" si="8"/>
        <v>50668941.74</v>
      </c>
      <c r="H22" s="146">
        <f>'Income Statement '!G8</f>
        <v>0.1631426357</v>
      </c>
      <c r="I22" s="7"/>
      <c r="J22" s="75" t="s">
        <v>78</v>
      </c>
      <c r="K22" s="58">
        <f>'Balance Sheet '!K8</f>
        <v>0.0432646559</v>
      </c>
    </row>
    <row r="23" ht="15.75" customHeight="1">
      <c r="A23" s="75" t="s">
        <v>79</v>
      </c>
      <c r="B23" s="151">
        <f>'Income Statement '!F10</f>
        <v>3258300000</v>
      </c>
      <c r="C23" s="153">
        <f t="shared" ref="C23:G23" si="9">H5</f>
        <v>3954744469</v>
      </c>
      <c r="D23" s="153">
        <f t="shared" si="9"/>
        <v>5076882389</v>
      </c>
      <c r="E23" s="153">
        <f t="shared" si="9"/>
        <v>6872802802</v>
      </c>
      <c r="F23" s="153">
        <f t="shared" si="9"/>
        <v>9785116801</v>
      </c>
      <c r="G23" s="153">
        <f t="shared" si="9"/>
        <v>14616466700</v>
      </c>
      <c r="H23" s="146" t="s">
        <v>81</v>
      </c>
      <c r="I23" s="7"/>
      <c r="J23" s="75" t="s">
        <v>82</v>
      </c>
      <c r="K23" s="165">
        <f>WACC!B13</f>
        <v>0.0573205721</v>
      </c>
    </row>
    <row r="24" ht="15.75" customHeight="1">
      <c r="A24" s="160" t="s">
        <v>83</v>
      </c>
      <c r="B24" s="164">
        <f>'Income Statement '!F15*-1</f>
        <v>101900000</v>
      </c>
      <c r="C24" s="153">
        <f>'Balance Sheet '!J15</f>
        <v>67750389.99</v>
      </c>
      <c r="D24" s="153">
        <f>'Balance Sheet '!K15</f>
        <v>62069287.86</v>
      </c>
      <c r="E24" s="153">
        <f>'Balance Sheet '!L15</f>
        <v>56864565.6</v>
      </c>
      <c r="F24" s="153">
        <f>'Balance Sheet '!M15</f>
        <v>52096277.11</v>
      </c>
      <c r="G24" s="153">
        <f>'Balance Sheet '!O15</f>
        <v>47727825.94</v>
      </c>
      <c r="H24" s="168" t="s">
        <v>89</v>
      </c>
      <c r="I24" s="169"/>
      <c r="J24" s="75" t="s">
        <v>90</v>
      </c>
      <c r="K24" s="165">
        <f>Cashflow!H18</f>
        <v>0.02194666336</v>
      </c>
    </row>
    <row r="25" ht="15.75" customHeight="1">
      <c r="A25" s="172" t="s">
        <v>19</v>
      </c>
      <c r="B25" s="174">
        <f t="shared" ref="B25:G25" si="10">B21+B22-B23-B24</f>
        <v>50800000</v>
      </c>
      <c r="C25" s="175">
        <f t="shared" si="10"/>
        <v>-34426293.71</v>
      </c>
      <c r="D25" s="175">
        <f t="shared" si="10"/>
        <v>-290047828.9</v>
      </c>
      <c r="E25" s="175">
        <f t="shared" si="10"/>
        <v>-807652059.8</v>
      </c>
      <c r="F25" s="175">
        <f t="shared" si="10"/>
        <v>-1821527733</v>
      </c>
      <c r="G25" s="175">
        <f t="shared" si="10"/>
        <v>-3793591568</v>
      </c>
      <c r="H25" s="75"/>
      <c r="I25" s="7"/>
      <c r="J25" s="178" t="s">
        <v>91</v>
      </c>
      <c r="K25" s="185">
        <v>0.025</v>
      </c>
    </row>
    <row r="26" ht="15.75" customHeight="1">
      <c r="A26" s="178" t="s">
        <v>92</v>
      </c>
      <c r="B26" s="164"/>
      <c r="C26" s="183">
        <f t="shared" ref="C26:G26" si="11">C25*$K$21</f>
        <v>-10327888.11</v>
      </c>
      <c r="D26" s="183">
        <f t="shared" si="11"/>
        <v>-87014348.68</v>
      </c>
      <c r="E26" s="183">
        <f t="shared" si="11"/>
        <v>-242295617.9</v>
      </c>
      <c r="F26" s="183">
        <f t="shared" si="11"/>
        <v>-546458319.8</v>
      </c>
      <c r="G26" s="183">
        <f t="shared" si="11"/>
        <v>-1138077470</v>
      </c>
      <c r="H26" s="75"/>
      <c r="I26" s="7"/>
      <c r="J26" s="7"/>
      <c r="K26" s="187"/>
    </row>
    <row r="27" ht="15.75" customHeight="1">
      <c r="A27" s="189" t="s">
        <v>93</v>
      </c>
      <c r="B27" s="190"/>
      <c r="C27" s="192">
        <f t="shared" ref="C27:G27" si="12">C25-C26</f>
        <v>-24098405.6</v>
      </c>
      <c r="D27" s="194">
        <f t="shared" si="12"/>
        <v>-203033480.3</v>
      </c>
      <c r="E27" s="194">
        <f t="shared" si="12"/>
        <v>-565356441.9</v>
      </c>
      <c r="F27" s="194">
        <f t="shared" si="12"/>
        <v>-1275069413</v>
      </c>
      <c r="G27" s="198">
        <f t="shared" si="12"/>
        <v>-2655514097</v>
      </c>
      <c r="H27" s="200"/>
      <c r="I27" s="7"/>
      <c r="J27" s="7"/>
      <c r="K27" s="201"/>
    </row>
    <row r="28" ht="15.75" customHeight="1">
      <c r="A28" s="202" t="s">
        <v>94</v>
      </c>
      <c r="B28" s="124"/>
      <c r="C28" s="127"/>
      <c r="D28" s="127"/>
      <c r="E28" s="127"/>
      <c r="F28" s="127"/>
      <c r="G28" s="127"/>
      <c r="H28" s="75"/>
      <c r="I28" s="7"/>
      <c r="J28" s="7"/>
      <c r="K28" s="98"/>
    </row>
    <row r="29" ht="15.75" customHeight="1">
      <c r="A29" s="75" t="s">
        <v>83</v>
      </c>
      <c r="B29" s="151">
        <f t="shared" ref="B29:G29" si="13">B24</f>
        <v>101900000</v>
      </c>
      <c r="C29" s="153">
        <f t="shared" si="13"/>
        <v>67750389.99</v>
      </c>
      <c r="D29" s="153">
        <f t="shared" si="13"/>
        <v>62069287.86</v>
      </c>
      <c r="E29" s="153">
        <f t="shared" si="13"/>
        <v>56864565.6</v>
      </c>
      <c r="F29" s="153">
        <f t="shared" si="13"/>
        <v>52096277.11</v>
      </c>
      <c r="G29" s="153">
        <f t="shared" si="13"/>
        <v>47727825.94</v>
      </c>
      <c r="H29" s="137"/>
      <c r="I29" s="7"/>
      <c r="J29" s="7"/>
      <c r="K29" s="7"/>
    </row>
    <row r="30" ht="15.75" customHeight="1">
      <c r="A30" s="101" t="s">
        <v>95</v>
      </c>
      <c r="B30" s="151"/>
      <c r="C30" s="153"/>
      <c r="D30" s="153"/>
      <c r="E30" s="153"/>
      <c r="F30" s="153"/>
      <c r="G30" s="153"/>
      <c r="H30" s="63"/>
      <c r="I30" s="7"/>
      <c r="J30" s="7"/>
      <c r="K30" s="7"/>
    </row>
    <row r="31" ht="15.75" customHeight="1">
      <c r="A31" s="75" t="s">
        <v>96</v>
      </c>
      <c r="B31" s="151"/>
      <c r="C31" s="204">
        <f t="shared" ref="C31:G31" si="14">C41</f>
        <v>24798685.12</v>
      </c>
      <c r="D31" s="204">
        <f t="shared" si="14"/>
        <v>37048348.54</v>
      </c>
      <c r="E31" s="204">
        <f t="shared" si="14"/>
        <v>54853458.45</v>
      </c>
      <c r="F31" s="204">
        <f t="shared" si="14"/>
        <v>81664634.23</v>
      </c>
      <c r="G31" s="204">
        <f t="shared" si="14"/>
        <v>123209553.3</v>
      </c>
      <c r="H31" s="206" t="s">
        <v>97</v>
      </c>
      <c r="I31" s="7"/>
      <c r="J31" s="100"/>
      <c r="K31" s="7"/>
    </row>
    <row r="32" ht="15.75" customHeight="1">
      <c r="A32" s="75" t="s">
        <v>98</v>
      </c>
      <c r="B32" s="151">
        <f>Cashflow!G13</f>
        <v>71800000</v>
      </c>
      <c r="C32" s="208">
        <f t="shared" ref="C32:G32" si="15">C21*$K$24</f>
        <v>86917253.28</v>
      </c>
      <c r="D32" s="208">
        <f t="shared" si="15"/>
        <v>105710598.9</v>
      </c>
      <c r="E32" s="208">
        <f t="shared" si="15"/>
        <v>133535861</v>
      </c>
      <c r="F32" s="208">
        <f t="shared" si="15"/>
        <v>174961505</v>
      </c>
      <c r="G32" s="208">
        <f t="shared" si="15"/>
        <v>237461449.4</v>
      </c>
      <c r="H32" s="75"/>
      <c r="I32" s="7"/>
      <c r="J32" s="7"/>
      <c r="K32" s="7"/>
    </row>
    <row r="33" ht="15.75" customHeight="1">
      <c r="A33" s="101" t="s">
        <v>99</v>
      </c>
      <c r="B33" s="210"/>
      <c r="C33" s="212">
        <f t="shared" ref="C33:G33" si="16">C27+C29-C31-C32</f>
        <v>-68063954.01</v>
      </c>
      <c r="D33" s="212">
        <f t="shared" si="16"/>
        <v>-283723139.9</v>
      </c>
      <c r="E33" s="212">
        <f t="shared" si="16"/>
        <v>-696881195.7</v>
      </c>
      <c r="F33" s="212">
        <f t="shared" si="16"/>
        <v>-1479599275</v>
      </c>
      <c r="G33" s="212">
        <f t="shared" si="16"/>
        <v>-2968457274</v>
      </c>
      <c r="H33" s="138"/>
      <c r="I33" s="7"/>
      <c r="J33" s="7"/>
      <c r="K33" s="7"/>
    </row>
    <row r="34" ht="15.75" customHeight="1">
      <c r="A34" s="217" t="s">
        <v>100</v>
      </c>
      <c r="B34" s="218">
        <v>0.0</v>
      </c>
      <c r="C34" s="220">
        <v>1.0</v>
      </c>
      <c r="D34" s="221">
        <v>2.0</v>
      </c>
      <c r="E34" s="221">
        <v>3.0</v>
      </c>
      <c r="F34" s="221">
        <v>4.0</v>
      </c>
      <c r="G34" s="221">
        <v>5.0</v>
      </c>
      <c r="H34" s="75"/>
      <c r="I34" s="7"/>
      <c r="J34" s="7"/>
      <c r="K34" s="7"/>
    </row>
    <row r="35" ht="15.75" customHeight="1">
      <c r="A35" s="75" t="s">
        <v>101</v>
      </c>
      <c r="B35" s="222"/>
      <c r="C35" s="224">
        <f t="shared" ref="C35:G35" si="17">C33/((1+$K$23)^C34)</f>
        <v>-64373999.53</v>
      </c>
      <c r="D35" s="224">
        <f t="shared" si="17"/>
        <v>-253794024.7</v>
      </c>
      <c r="E35" s="224">
        <f t="shared" si="17"/>
        <v>-589574510.4</v>
      </c>
      <c r="F35" s="224">
        <f t="shared" si="17"/>
        <v>-1183906434</v>
      </c>
      <c r="G35" s="224">
        <f t="shared" si="17"/>
        <v>-2246453280</v>
      </c>
      <c r="H35" s="227" t="s">
        <v>102</v>
      </c>
      <c r="I35" s="7"/>
      <c r="J35" s="7"/>
      <c r="K35" s="7"/>
    </row>
    <row r="36" ht="15.75" customHeight="1">
      <c r="A36" s="75" t="s">
        <v>103</v>
      </c>
      <c r="B36" s="228"/>
      <c r="C36" s="153"/>
      <c r="D36" s="153"/>
      <c r="E36" s="153"/>
      <c r="F36" s="153"/>
      <c r="G36" s="231">
        <f>G33*(1+K25)/(K23-K25)</f>
        <v>-94140310893</v>
      </c>
      <c r="H36" s="227" t="s">
        <v>104</v>
      </c>
      <c r="I36" s="7"/>
      <c r="J36" s="7"/>
      <c r="K36" s="7"/>
    </row>
    <row r="37" ht="15.75" customHeight="1">
      <c r="A37" s="232" t="s">
        <v>105</v>
      </c>
      <c r="B37" s="234">
        <f>SUM(C35:G35,G36)</f>
        <v>-98478413142</v>
      </c>
      <c r="C37" s="183"/>
      <c r="D37" s="153"/>
      <c r="E37" s="153"/>
      <c r="F37" s="153"/>
      <c r="G37" s="153"/>
      <c r="H37" s="75"/>
      <c r="I37" s="7"/>
      <c r="J37" s="7"/>
      <c r="K37" s="7"/>
    </row>
    <row r="38" ht="15.75" customHeight="1">
      <c r="A38" s="242" t="s">
        <v>97</v>
      </c>
      <c r="C38" s="7"/>
      <c r="D38" s="7"/>
      <c r="E38" s="7"/>
      <c r="F38" s="7"/>
      <c r="G38" s="7"/>
      <c r="H38" s="75"/>
      <c r="I38" s="7"/>
      <c r="J38" s="7"/>
      <c r="K38" s="7"/>
    </row>
    <row r="39" ht="15.75" customHeight="1">
      <c r="A39" s="244" t="s">
        <v>107</v>
      </c>
      <c r="B39" s="15">
        <v>2023.0</v>
      </c>
      <c r="C39" s="247" t="s">
        <v>4</v>
      </c>
      <c r="D39" s="247" t="str">
        <f t="shared" ref="D39:G39" si="18">D20</f>
        <v>2025E</v>
      </c>
      <c r="E39" s="247" t="str">
        <f t="shared" si="18"/>
        <v>2026E</v>
      </c>
      <c r="F39" s="247" t="str">
        <f t="shared" si="18"/>
        <v>2027E</v>
      </c>
      <c r="G39" s="247" t="str">
        <f t="shared" si="18"/>
        <v>2028E</v>
      </c>
      <c r="H39" s="75"/>
      <c r="I39" s="7"/>
      <c r="J39" s="7"/>
      <c r="K39" s="7"/>
    </row>
    <row r="40" ht="15.75" customHeight="1">
      <c r="A40" s="77" t="s">
        <v>109</v>
      </c>
      <c r="B40" s="55">
        <f t="shared" ref="B40:G40" si="19">B21*$K$22</f>
        <v>146546042.5</v>
      </c>
      <c r="C40" s="55">
        <f t="shared" si="19"/>
        <v>171344727.6</v>
      </c>
      <c r="D40" s="55">
        <f t="shared" si="19"/>
        <v>208393076.1</v>
      </c>
      <c r="E40" s="55">
        <f t="shared" si="19"/>
        <v>263246534.6</v>
      </c>
      <c r="F40" s="55">
        <f t="shared" si="19"/>
        <v>344911168.8</v>
      </c>
      <c r="G40" s="55">
        <f t="shared" si="19"/>
        <v>468120722.1</v>
      </c>
      <c r="H40" s="254"/>
      <c r="I40" s="7"/>
      <c r="J40" s="7"/>
      <c r="K40" s="7"/>
    </row>
    <row r="41" ht="15.75" customHeight="1">
      <c r="A41" s="77" t="s">
        <v>113</v>
      </c>
      <c r="B41" s="250"/>
      <c r="C41" s="55">
        <f t="shared" ref="C41:G41" si="20">C40-B40</f>
        <v>24798685.12</v>
      </c>
      <c r="D41" s="55">
        <f t="shared" si="20"/>
        <v>37048348.54</v>
      </c>
      <c r="E41" s="55">
        <f t="shared" si="20"/>
        <v>54853458.45</v>
      </c>
      <c r="F41" s="55">
        <f t="shared" si="20"/>
        <v>81664634.23</v>
      </c>
      <c r="G41" s="55">
        <f t="shared" si="20"/>
        <v>123209553.3</v>
      </c>
      <c r="H41" s="254"/>
      <c r="I41" s="7"/>
      <c r="J41" s="7"/>
      <c r="K41" s="7"/>
    </row>
    <row r="42" ht="15.75" customHeight="1">
      <c r="H42" s="7"/>
      <c r="I42" s="7"/>
      <c r="J42" s="7"/>
      <c r="K42" s="7"/>
      <c r="L42" s="7"/>
    </row>
    <row r="43" ht="15.75" customHeight="1">
      <c r="H43" s="7"/>
      <c r="I43" s="7"/>
      <c r="J43" s="7"/>
      <c r="K43" s="7"/>
      <c r="L43" s="7"/>
    </row>
    <row r="44" ht="15.75" customHeight="1">
      <c r="A44" s="264" t="s">
        <v>120</v>
      </c>
      <c r="B44" s="258"/>
      <c r="C44" s="260"/>
      <c r="H44" s="7"/>
      <c r="I44" s="7"/>
      <c r="L44" s="7"/>
    </row>
    <row r="45" ht="15.75" customHeight="1">
      <c r="A45" s="269" t="s">
        <v>121</v>
      </c>
      <c r="B45" s="272" t="s">
        <v>119</v>
      </c>
      <c r="C45" s="274" t="s">
        <v>105</v>
      </c>
      <c r="D45" s="85"/>
      <c r="E45" s="85"/>
      <c r="F45" s="85"/>
      <c r="G45" s="85"/>
    </row>
    <row r="46" ht="15.75" customHeight="1">
      <c r="A46" s="276">
        <v>0.03</v>
      </c>
      <c r="B46" s="277">
        <v>7.6281383895E8</v>
      </c>
      <c r="C46" s="279">
        <v>2.5226814282E10</v>
      </c>
      <c r="D46" s="85"/>
      <c r="E46" s="85"/>
      <c r="F46" s="85"/>
      <c r="G46" s="85"/>
    </row>
    <row r="47" ht="15.75" customHeight="1">
      <c r="A47" s="276">
        <v>0.035</v>
      </c>
      <c r="B47" s="277">
        <v>3.6465442117E8</v>
      </c>
      <c r="C47" s="279">
        <v>1.200216431383E10</v>
      </c>
    </row>
    <row r="48" ht="15.75" customHeight="1">
      <c r="A48" s="283">
        <v>0.038</v>
      </c>
      <c r="B48" s="284">
        <v>1.1701342E8</v>
      </c>
      <c r="C48" s="285">
        <v>3.78042996384E9</v>
      </c>
    </row>
    <row r="49" ht="15.75" customHeight="1">
      <c r="A49" s="286">
        <v>0.0385</v>
      </c>
      <c r="B49" s="288">
        <v>7.5090697E7</v>
      </c>
      <c r="C49" s="289">
        <v>2.38884130891E9</v>
      </c>
    </row>
    <row r="50" ht="15.75" customHeight="1">
      <c r="A50" s="283">
        <v>0.039</v>
      </c>
      <c r="B50" s="284">
        <v>3.298091596E7</v>
      </c>
      <c r="C50" s="285">
        <v>9.9111597631E8</v>
      </c>
    </row>
    <row r="51" ht="15.75" customHeight="1">
      <c r="A51" s="276">
        <v>0.04</v>
      </c>
      <c r="B51" s="277">
        <v>-5.180217982E7</v>
      </c>
      <c r="C51" s="279">
        <v>-1.822821714E9</v>
      </c>
    </row>
    <row r="52" ht="15.75" customHeight="1">
      <c r="A52" s="276">
        <v>0.045</v>
      </c>
      <c r="B52" s="277">
        <v>-4.8714276589E8</v>
      </c>
      <c r="C52" s="279">
        <v>-1.6267289331E10</v>
      </c>
    </row>
    <row r="53" ht="15.75" customHeight="1">
      <c r="A53" s="291">
        <v>0.05</v>
      </c>
      <c r="B53" s="292">
        <v>-9.41996568159E9</v>
      </c>
      <c r="C53" s="298">
        <v>-3.1350759522E10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G1"/>
    <mergeCell ref="A16:H16"/>
    <mergeCell ref="C19:G19"/>
    <mergeCell ref="J20:K20"/>
    <mergeCell ref="A44:C4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1.22" defaultRowHeight="15.0"/>
  <cols>
    <col customWidth="1" min="1" max="1" width="40.0"/>
    <col customWidth="1" min="2" max="2" width="25.67"/>
    <col customWidth="1" min="3" max="3" width="30.33"/>
    <col customWidth="1" min="4" max="6" width="20.44"/>
    <col customWidth="1" min="7" max="7" width="22.0"/>
    <col customWidth="1" min="8" max="8" width="28.0"/>
    <col customWidth="1" min="9" max="9" width="23.44"/>
    <col customWidth="1" min="10" max="10" width="20.44"/>
    <col customWidth="1" min="11" max="11" width="20.67"/>
    <col customWidth="1" min="12" max="12" width="21.78"/>
    <col customWidth="1" min="13" max="26" width="11.44"/>
  </cols>
  <sheetData>
    <row r="1" ht="28.5" customHeight="1">
      <c r="A1" s="1"/>
      <c r="B1" s="1"/>
      <c r="C1" s="3" t="s">
        <v>1</v>
      </c>
      <c r="D1" s="5"/>
      <c r="E1" s="5"/>
      <c r="F1" s="5"/>
      <c r="G1" s="5"/>
      <c r="H1" s="7"/>
      <c r="I1" s="7"/>
      <c r="J1" s="7"/>
      <c r="K1" s="7"/>
    </row>
    <row r="2" ht="15.75" customHeight="1">
      <c r="A2" s="11"/>
      <c r="B2" s="15">
        <v>2018.0</v>
      </c>
      <c r="C2" s="15">
        <v>2019.0</v>
      </c>
      <c r="D2" s="15">
        <v>2020.0</v>
      </c>
      <c r="E2" s="15">
        <v>2021.0</v>
      </c>
      <c r="F2" s="15">
        <v>2022.0</v>
      </c>
      <c r="G2" s="15">
        <v>2023.0</v>
      </c>
      <c r="H2" s="18" t="s">
        <v>4</v>
      </c>
      <c r="I2" s="18" t="s">
        <v>6</v>
      </c>
      <c r="J2" s="18" t="s">
        <v>7</v>
      </c>
      <c r="K2" s="18" t="s">
        <v>8</v>
      </c>
      <c r="L2" s="18" t="s">
        <v>9</v>
      </c>
    </row>
    <row r="3" ht="15.75" customHeight="1">
      <c r="A3" s="32" t="s">
        <v>10</v>
      </c>
      <c r="B3" s="33">
        <v>1.445018E9</v>
      </c>
      <c r="C3" s="37">
        <f>'Income Statement '!B3</f>
        <v>1427167000</v>
      </c>
      <c r="D3" s="37">
        <f>'Income Statement '!C3</f>
        <v>1501079000</v>
      </c>
      <c r="E3" s="37">
        <f>'Income Statement '!D3</f>
        <v>2081600000</v>
      </c>
      <c r="F3" s="37">
        <f>'Income Statement '!E3</f>
        <v>3018300000</v>
      </c>
      <c r="G3" s="37">
        <f>'Income Statement '!F3</f>
        <v>3387200000</v>
      </c>
      <c r="H3" s="39">
        <f t="shared" ref="H3:L3" si="1">G3*(1+(G7+$B$11))</f>
        <v>3960385770</v>
      </c>
      <c r="I3" s="37">
        <f t="shared" si="1"/>
        <v>4816704809</v>
      </c>
      <c r="J3" s="37">
        <f t="shared" si="1"/>
        <v>6084563233</v>
      </c>
      <c r="K3" s="37">
        <f t="shared" si="1"/>
        <v>7972123241</v>
      </c>
      <c r="L3" s="37">
        <f t="shared" si="1"/>
        <v>10819934016</v>
      </c>
    </row>
    <row r="4" ht="15.75" customHeight="1">
      <c r="A4" s="32" t="s">
        <v>19</v>
      </c>
      <c r="B4" s="37">
        <v>7.6552E7</v>
      </c>
      <c r="C4" s="37">
        <f>'Income Statement '!B16</f>
        <v>82964000</v>
      </c>
      <c r="D4" s="37">
        <f>'Income Statement '!C16</f>
        <v>43068000</v>
      </c>
      <c r="E4" s="37">
        <f>'Income Statement '!D16</f>
        <v>73000000</v>
      </c>
      <c r="F4" s="37">
        <f>'Income Statement '!E16</f>
        <v>75100000</v>
      </c>
      <c r="G4" s="37">
        <f>'Income Statement '!F16</f>
        <v>50800000</v>
      </c>
      <c r="H4" s="37">
        <f t="shared" ref="H4:L4" si="2">G4/G3*H3</f>
        <v>59396432.79</v>
      </c>
      <c r="I4" s="37">
        <f t="shared" si="2"/>
        <v>72239195.88</v>
      </c>
      <c r="J4" s="37">
        <f t="shared" si="2"/>
        <v>91254077.77</v>
      </c>
      <c r="K4" s="37">
        <f t="shared" si="2"/>
        <v>119563019.8</v>
      </c>
      <c r="L4" s="37">
        <f t="shared" si="2"/>
        <v>162273455.4</v>
      </c>
    </row>
    <row r="5" ht="15.75" customHeight="1">
      <c r="A5" s="32" t="s">
        <v>25</v>
      </c>
      <c r="B5" s="54"/>
      <c r="C5" s="55">
        <f>'Income Statement '!B10</f>
        <v>1308638000</v>
      </c>
      <c r="D5" s="55">
        <f>'Income Statement '!C10</f>
        <v>1419032000</v>
      </c>
      <c r="E5" s="55">
        <f>'Income Statement '!D10</f>
        <v>1966300000</v>
      </c>
      <c r="F5" s="55">
        <f>'Income Statement '!E10</f>
        <v>2848800000</v>
      </c>
      <c r="G5" s="55">
        <f>'Income Statement '!F10</f>
        <v>3258300000</v>
      </c>
      <c r="H5" s="55">
        <f t="shared" ref="H5:L5" si="3">G5*(1+(G6+($B$12)))</f>
        <v>3852108019</v>
      </c>
      <c r="I5" s="55">
        <f t="shared" si="3"/>
        <v>4702440581</v>
      </c>
      <c r="J5" s="55">
        <f t="shared" si="3"/>
        <v>5921523542</v>
      </c>
      <c r="K5" s="55">
        <f t="shared" si="3"/>
        <v>7684625997</v>
      </c>
      <c r="L5" s="55">
        <f t="shared" si="3"/>
        <v>10268541026</v>
      </c>
    </row>
    <row r="6" ht="15.75" customHeight="1">
      <c r="A6" s="32" t="s">
        <v>33</v>
      </c>
      <c r="B6" s="54"/>
      <c r="C6" s="54"/>
      <c r="D6" s="58">
        <f t="shared" ref="D6:L6" si="4">(D5-C5)/C5</f>
        <v>0.0843579355</v>
      </c>
      <c r="E6" s="58">
        <f t="shared" si="4"/>
        <v>0.3856629026</v>
      </c>
      <c r="F6" s="58">
        <f t="shared" si="4"/>
        <v>0.4488124905</v>
      </c>
      <c r="G6" s="58">
        <f t="shared" si="4"/>
        <v>0.1437447346</v>
      </c>
      <c r="H6" s="58">
        <f t="shared" si="4"/>
        <v>0.1822447346</v>
      </c>
      <c r="I6" s="58">
        <f t="shared" si="4"/>
        <v>0.2207447346</v>
      </c>
      <c r="J6" s="58">
        <f t="shared" si="4"/>
        <v>0.2592447346</v>
      </c>
      <c r="K6" s="58">
        <f t="shared" si="4"/>
        <v>0.2977447346</v>
      </c>
      <c r="L6" s="58">
        <f t="shared" si="4"/>
        <v>0.3362447346</v>
      </c>
    </row>
    <row r="7" ht="15.75" customHeight="1">
      <c r="A7" s="32" t="s">
        <v>35</v>
      </c>
      <c r="B7" s="63"/>
      <c r="C7" s="58">
        <f t="shared" ref="C7:L7" si="5">(C3-B3)/B3</f>
        <v>-0.01235347933</v>
      </c>
      <c r="D7" s="58">
        <f t="shared" si="5"/>
        <v>0.05178931407</v>
      </c>
      <c r="E7" s="58">
        <f t="shared" si="5"/>
        <v>0.386735808</v>
      </c>
      <c r="F7" s="58">
        <f t="shared" si="5"/>
        <v>0.449990392</v>
      </c>
      <c r="G7" s="58">
        <f t="shared" si="5"/>
        <v>0.1222211178</v>
      </c>
      <c r="H7" s="58">
        <f t="shared" si="5"/>
        <v>0.1692211178</v>
      </c>
      <c r="I7" s="58">
        <f t="shared" si="5"/>
        <v>0.2162211178</v>
      </c>
      <c r="J7" s="58">
        <f t="shared" si="5"/>
        <v>0.2632211178</v>
      </c>
      <c r="K7" s="58">
        <f t="shared" si="5"/>
        <v>0.3102211178</v>
      </c>
      <c r="L7" s="58">
        <f t="shared" si="5"/>
        <v>0.3572211178</v>
      </c>
    </row>
    <row r="8" ht="15.75" customHeight="1">
      <c r="A8" s="32" t="s">
        <v>36</v>
      </c>
      <c r="B8" s="63">
        <f t="shared" ref="B8:L8" si="6">B4/B3</f>
        <v>0.05297650271</v>
      </c>
      <c r="C8" s="63">
        <f t="shared" si="6"/>
        <v>0.05813194952</v>
      </c>
      <c r="D8" s="63">
        <f t="shared" si="6"/>
        <v>0.02869136135</v>
      </c>
      <c r="E8" s="63">
        <f t="shared" si="6"/>
        <v>0.03506917756</v>
      </c>
      <c r="F8" s="63">
        <f t="shared" si="6"/>
        <v>0.02488155584</v>
      </c>
      <c r="G8" s="63">
        <f t="shared" si="6"/>
        <v>0.01499763817</v>
      </c>
      <c r="H8" s="63">
        <f t="shared" si="6"/>
        <v>0.01499763817</v>
      </c>
      <c r="I8" s="63">
        <f t="shared" si="6"/>
        <v>0.01499763817</v>
      </c>
      <c r="J8" s="63">
        <f t="shared" si="6"/>
        <v>0.01499763817</v>
      </c>
      <c r="K8" s="63">
        <f t="shared" si="6"/>
        <v>0.01499763817</v>
      </c>
      <c r="L8" s="63">
        <f t="shared" si="6"/>
        <v>0.01499763817</v>
      </c>
    </row>
    <row r="9" ht="15.75" customHeight="1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</row>
    <row r="10" ht="15.75" customHeight="1">
      <c r="D10" s="42"/>
      <c r="E10" s="42"/>
      <c r="F10" s="42"/>
      <c r="G10" s="42"/>
      <c r="H10" s="76"/>
      <c r="I10" s="76"/>
      <c r="J10" s="76"/>
      <c r="K10" s="76"/>
      <c r="L10" s="76"/>
    </row>
    <row r="11" ht="15.75" customHeight="1">
      <c r="A11" s="77" t="s">
        <v>43</v>
      </c>
      <c r="B11" s="78">
        <v>0.047</v>
      </c>
      <c r="C11" s="77" t="s">
        <v>44</v>
      </c>
      <c r="D11" s="79"/>
      <c r="E11" s="79"/>
      <c r="F11" s="79"/>
      <c r="G11" s="79"/>
      <c r="H11" s="79"/>
      <c r="I11" s="79"/>
      <c r="J11" s="79"/>
      <c r="K11" s="79"/>
      <c r="L11" s="79"/>
    </row>
    <row r="12" ht="15.75" customHeight="1">
      <c r="A12" s="7" t="s">
        <v>45</v>
      </c>
      <c r="B12" s="78">
        <v>0.0385</v>
      </c>
      <c r="C12" s="82" t="s">
        <v>127</v>
      </c>
      <c r="D12" s="85"/>
      <c r="E12" s="42" t="s">
        <v>51</v>
      </c>
      <c r="F12" s="42"/>
      <c r="H12" s="42"/>
      <c r="I12" s="42"/>
      <c r="J12" s="42"/>
      <c r="K12" s="42"/>
      <c r="L12" s="42"/>
    </row>
    <row r="13" ht="15.75" customHeight="1">
      <c r="B13" s="42"/>
      <c r="D13" s="85"/>
      <c r="H13" s="42"/>
    </row>
    <row r="14" ht="15.75" customHeight="1">
      <c r="B14" s="42"/>
      <c r="D14" s="85"/>
      <c r="H14" s="42"/>
    </row>
    <row r="15" ht="15.75" customHeight="1">
      <c r="B15" s="42"/>
      <c r="D15" s="85"/>
      <c r="E15" s="85"/>
    </row>
    <row r="16" ht="15.75" customHeight="1">
      <c r="A16" s="92" t="s">
        <v>52</v>
      </c>
      <c r="I16" s="93"/>
      <c r="J16" s="93"/>
      <c r="K16" s="93"/>
      <c r="L16" s="93"/>
    </row>
    <row r="17" ht="15.75" customHeight="1">
      <c r="A17" s="7"/>
      <c r="B17" s="98"/>
      <c r="C17" s="7"/>
      <c r="D17" s="98"/>
      <c r="E17" s="7"/>
      <c r="F17" s="7"/>
      <c r="G17" s="7"/>
      <c r="H17" s="7"/>
      <c r="I17" s="7"/>
      <c r="J17" s="7"/>
      <c r="K17" s="7"/>
      <c r="L17" s="7"/>
    </row>
    <row r="18" ht="15.75" customHeight="1">
      <c r="A18" s="7"/>
      <c r="B18" s="98"/>
      <c r="C18" s="100"/>
      <c r="D18" s="100"/>
      <c r="E18" s="100"/>
      <c r="F18" s="100"/>
      <c r="G18" s="100"/>
      <c r="H18" s="7"/>
      <c r="I18" s="7"/>
      <c r="J18" s="7"/>
      <c r="K18" s="7"/>
      <c r="L18" s="7"/>
    </row>
    <row r="19" ht="15.75" customHeight="1">
      <c r="A19" s="101"/>
      <c r="B19" s="101" t="s">
        <v>57</v>
      </c>
      <c r="C19" s="102" t="s">
        <v>58</v>
      </c>
      <c r="D19" s="103"/>
      <c r="E19" s="103"/>
      <c r="F19" s="103"/>
      <c r="G19" s="16"/>
      <c r="H19" s="75"/>
      <c r="I19" s="7"/>
      <c r="J19" s="7"/>
      <c r="K19" s="7"/>
    </row>
    <row r="20" ht="15.75" customHeight="1">
      <c r="A20" s="106" t="s">
        <v>59</v>
      </c>
      <c r="B20" s="107">
        <v>2023.0</v>
      </c>
      <c r="C20" s="110" t="s">
        <v>4</v>
      </c>
      <c r="D20" s="110" t="s">
        <v>6</v>
      </c>
      <c r="E20" s="110" t="s">
        <v>7</v>
      </c>
      <c r="F20" s="110" t="s">
        <v>8</v>
      </c>
      <c r="G20" s="110" t="s">
        <v>9</v>
      </c>
      <c r="H20" s="114" t="s">
        <v>61</v>
      </c>
      <c r="I20" s="115"/>
      <c r="J20" s="117" t="s">
        <v>65</v>
      </c>
      <c r="K20" s="6"/>
    </row>
    <row r="21" ht="15.75" customHeight="1">
      <c r="A21" s="119" t="s">
        <v>10</v>
      </c>
      <c r="B21" s="124">
        <f t="shared" ref="B21:G21" si="7">G3</f>
        <v>3387200000</v>
      </c>
      <c r="C21" s="127">
        <f t="shared" si="7"/>
        <v>3960385770</v>
      </c>
      <c r="D21" s="127">
        <f t="shared" si="7"/>
        <v>4816704809</v>
      </c>
      <c r="E21" s="127">
        <f t="shared" si="7"/>
        <v>6084563233</v>
      </c>
      <c r="F21" s="127">
        <f t="shared" si="7"/>
        <v>7972123241</v>
      </c>
      <c r="G21" s="127">
        <f t="shared" si="7"/>
        <v>10819934016</v>
      </c>
      <c r="H21" s="133" t="s">
        <v>128</v>
      </c>
      <c r="I21" s="7"/>
      <c r="J21" s="75" t="s">
        <v>71</v>
      </c>
      <c r="K21" s="138">
        <v>0.3</v>
      </c>
    </row>
    <row r="22" ht="15.75" customHeight="1">
      <c r="A22" s="119" t="s">
        <v>73</v>
      </c>
      <c r="B22" s="124">
        <f>23800000</f>
        <v>23800000</v>
      </c>
      <c r="C22" s="127">
        <f t="shared" ref="C22:G22" si="8">B22*(1+$H$22)</f>
        <v>27682794.73</v>
      </c>
      <c r="D22" s="127">
        <f t="shared" si="8"/>
        <v>32199038.83</v>
      </c>
      <c r="E22" s="127">
        <f t="shared" si="8"/>
        <v>37452074.89</v>
      </c>
      <c r="F22" s="127">
        <f t="shared" si="8"/>
        <v>43562105.1</v>
      </c>
      <c r="G22" s="127">
        <f t="shared" si="8"/>
        <v>50668941.74</v>
      </c>
      <c r="H22" s="146">
        <f>'Income Statement '!G8</f>
        <v>0.1631426357</v>
      </c>
      <c r="I22" s="7"/>
      <c r="J22" s="75" t="s">
        <v>78</v>
      </c>
      <c r="K22" s="58">
        <f>'Balance Sheet '!K8</f>
        <v>0.0432646559</v>
      </c>
    </row>
    <row r="23" ht="15.75" customHeight="1">
      <c r="A23" s="75" t="s">
        <v>79</v>
      </c>
      <c r="B23" s="151">
        <f>'Income Statement '!F10</f>
        <v>3258300000</v>
      </c>
      <c r="C23" s="153">
        <f t="shared" ref="C23:G23" si="9">H5</f>
        <v>3852108019</v>
      </c>
      <c r="D23" s="153">
        <f t="shared" si="9"/>
        <v>4702440581</v>
      </c>
      <c r="E23" s="153">
        <f t="shared" si="9"/>
        <v>5921523542</v>
      </c>
      <c r="F23" s="153">
        <f t="shared" si="9"/>
        <v>7684625997</v>
      </c>
      <c r="G23" s="153">
        <f t="shared" si="9"/>
        <v>10268541026</v>
      </c>
      <c r="H23" s="146" t="s">
        <v>81</v>
      </c>
      <c r="I23" s="7"/>
      <c r="J23" s="75" t="s">
        <v>82</v>
      </c>
      <c r="K23" s="300">
        <v>0.06</v>
      </c>
    </row>
    <row r="24" ht="15.75" customHeight="1">
      <c r="A24" s="160" t="s">
        <v>83</v>
      </c>
      <c r="B24" s="164">
        <f>'Income Statement '!F15*-1</f>
        <v>101900000</v>
      </c>
      <c r="C24" s="153">
        <f>'Balance Sheet '!J15</f>
        <v>67750389.99</v>
      </c>
      <c r="D24" s="153">
        <f>'Balance Sheet '!K15</f>
        <v>62069287.86</v>
      </c>
      <c r="E24" s="153">
        <f>'Balance Sheet '!L15</f>
        <v>56864565.6</v>
      </c>
      <c r="F24" s="153">
        <f>'Balance Sheet '!M15</f>
        <v>52096277.11</v>
      </c>
      <c r="G24" s="153">
        <f>'Balance Sheet '!O15</f>
        <v>47727825.94</v>
      </c>
      <c r="H24" s="168" t="s">
        <v>89</v>
      </c>
      <c r="I24" s="169"/>
      <c r="J24" s="75" t="s">
        <v>90</v>
      </c>
      <c r="K24" s="165">
        <f>Cashflow!H18</f>
        <v>0.02194666336</v>
      </c>
    </row>
    <row r="25" ht="15.75" customHeight="1">
      <c r="A25" s="172" t="s">
        <v>19</v>
      </c>
      <c r="B25" s="174">
        <f t="shared" ref="B25:G25" si="10">B21+B22-B23-B24</f>
        <v>50800000</v>
      </c>
      <c r="C25" s="175">
        <f t="shared" si="10"/>
        <v>68210156.29</v>
      </c>
      <c r="D25" s="175">
        <f t="shared" si="10"/>
        <v>84393978.52</v>
      </c>
      <c r="E25" s="175">
        <f t="shared" si="10"/>
        <v>143627200.4</v>
      </c>
      <c r="F25" s="175">
        <f t="shared" si="10"/>
        <v>278963071.3</v>
      </c>
      <c r="G25" s="175">
        <f t="shared" si="10"/>
        <v>554334105.6</v>
      </c>
      <c r="H25" s="75"/>
      <c r="I25" s="7"/>
      <c r="J25" s="178" t="s">
        <v>91</v>
      </c>
      <c r="K25" s="185">
        <v>0.025</v>
      </c>
    </row>
    <row r="26" ht="15.75" customHeight="1">
      <c r="A26" s="178" t="s">
        <v>92</v>
      </c>
      <c r="B26" s="164"/>
      <c r="C26" s="183">
        <f t="shared" ref="C26:G26" si="11">C25*$K$21</f>
        <v>20463046.89</v>
      </c>
      <c r="D26" s="183">
        <f t="shared" si="11"/>
        <v>25318193.56</v>
      </c>
      <c r="E26" s="183">
        <f t="shared" si="11"/>
        <v>43088160.12</v>
      </c>
      <c r="F26" s="183">
        <f t="shared" si="11"/>
        <v>83688921.39</v>
      </c>
      <c r="G26" s="183">
        <f t="shared" si="11"/>
        <v>166300231.7</v>
      </c>
      <c r="H26" s="75"/>
      <c r="I26" s="7"/>
      <c r="J26" s="7"/>
      <c r="K26" s="187"/>
    </row>
    <row r="27" ht="15.75" customHeight="1">
      <c r="A27" s="189" t="s">
        <v>93</v>
      </c>
      <c r="B27" s="190"/>
      <c r="C27" s="192">
        <f t="shared" ref="C27:G27" si="12">C25-C26</f>
        <v>47747109.4</v>
      </c>
      <c r="D27" s="194">
        <f t="shared" si="12"/>
        <v>59075784.97</v>
      </c>
      <c r="E27" s="194">
        <f t="shared" si="12"/>
        <v>100539040.3</v>
      </c>
      <c r="F27" s="194">
        <f t="shared" si="12"/>
        <v>195274149.9</v>
      </c>
      <c r="G27" s="198">
        <f t="shared" si="12"/>
        <v>388033873.9</v>
      </c>
      <c r="H27" s="200"/>
      <c r="I27" s="7"/>
      <c r="J27" s="7"/>
      <c r="K27" s="201"/>
    </row>
    <row r="28" ht="15.75" customHeight="1">
      <c r="A28" s="202" t="s">
        <v>94</v>
      </c>
      <c r="B28" s="124"/>
      <c r="C28" s="127"/>
      <c r="D28" s="127"/>
      <c r="E28" s="127"/>
      <c r="F28" s="127"/>
      <c r="G28" s="127"/>
      <c r="H28" s="75"/>
      <c r="I28" s="7"/>
      <c r="J28" s="7"/>
      <c r="K28" s="98"/>
    </row>
    <row r="29" ht="15.75" customHeight="1">
      <c r="A29" s="75" t="s">
        <v>83</v>
      </c>
      <c r="B29" s="151">
        <f t="shared" ref="B29:G29" si="13">B24</f>
        <v>101900000</v>
      </c>
      <c r="C29" s="153">
        <f t="shared" si="13"/>
        <v>67750389.99</v>
      </c>
      <c r="D29" s="153">
        <f t="shared" si="13"/>
        <v>62069287.86</v>
      </c>
      <c r="E29" s="153">
        <f t="shared" si="13"/>
        <v>56864565.6</v>
      </c>
      <c r="F29" s="153">
        <f t="shared" si="13"/>
        <v>52096277.11</v>
      </c>
      <c r="G29" s="153">
        <f t="shared" si="13"/>
        <v>47727825.94</v>
      </c>
      <c r="H29" s="137"/>
      <c r="I29" s="7"/>
      <c r="J29" s="7"/>
      <c r="K29" s="7"/>
    </row>
    <row r="30" ht="15.75" customHeight="1">
      <c r="A30" s="101" t="s">
        <v>95</v>
      </c>
      <c r="B30" s="151"/>
      <c r="C30" s="153"/>
      <c r="D30" s="153"/>
      <c r="E30" s="153"/>
      <c r="F30" s="153"/>
      <c r="G30" s="153"/>
      <c r="H30" s="63"/>
      <c r="I30" s="7"/>
      <c r="J30" s="7"/>
      <c r="K30" s="7"/>
    </row>
    <row r="31" ht="15.75" customHeight="1">
      <c r="A31" s="75" t="s">
        <v>96</v>
      </c>
      <c r="B31" s="151"/>
      <c r="C31" s="204">
        <f t="shared" ref="C31:G31" si="14">C49</f>
        <v>24798685.12</v>
      </c>
      <c r="D31" s="204">
        <f t="shared" si="14"/>
        <v>37048348.54</v>
      </c>
      <c r="E31" s="204">
        <f t="shared" si="14"/>
        <v>54853458.45</v>
      </c>
      <c r="F31" s="204">
        <f t="shared" si="14"/>
        <v>81664634.23</v>
      </c>
      <c r="G31" s="204">
        <f t="shared" si="14"/>
        <v>123209553.3</v>
      </c>
      <c r="H31" s="206" t="s">
        <v>97</v>
      </c>
      <c r="I31" s="7"/>
      <c r="J31" s="100"/>
      <c r="K31" s="7"/>
    </row>
    <row r="32" ht="15.75" customHeight="1">
      <c r="A32" s="75" t="s">
        <v>98</v>
      </c>
      <c r="B32" s="151">
        <f>Cashflow!G13</f>
        <v>71800000</v>
      </c>
      <c r="C32" s="208">
        <f t="shared" ref="C32:G32" si="15">C21*$K$24</f>
        <v>86917253.28</v>
      </c>
      <c r="D32" s="208">
        <f t="shared" si="15"/>
        <v>105710598.9</v>
      </c>
      <c r="E32" s="208">
        <f t="shared" si="15"/>
        <v>133535861</v>
      </c>
      <c r="F32" s="208">
        <f t="shared" si="15"/>
        <v>174961505</v>
      </c>
      <c r="G32" s="208">
        <f t="shared" si="15"/>
        <v>237461449.4</v>
      </c>
      <c r="H32" s="75"/>
      <c r="I32" s="7"/>
      <c r="J32" s="7"/>
      <c r="K32" s="7"/>
    </row>
    <row r="33" ht="15.75" customHeight="1">
      <c r="A33" s="101" t="s">
        <v>99</v>
      </c>
      <c r="B33" s="210"/>
      <c r="C33" s="212">
        <f t="shared" ref="C33:G33" si="16">C27+C29-C31-C32</f>
        <v>3781560.99</v>
      </c>
      <c r="D33" s="212">
        <f t="shared" si="16"/>
        <v>-21613874.65</v>
      </c>
      <c r="E33" s="212">
        <f t="shared" si="16"/>
        <v>-30985713.54</v>
      </c>
      <c r="F33" s="212">
        <f t="shared" si="16"/>
        <v>-9255712.238</v>
      </c>
      <c r="G33" s="212">
        <f t="shared" si="16"/>
        <v>75090697.13</v>
      </c>
      <c r="H33" s="138"/>
      <c r="I33" s="7"/>
      <c r="J33" s="7"/>
      <c r="K33" s="7"/>
    </row>
    <row r="34" ht="15.75" customHeight="1">
      <c r="A34" s="217" t="s">
        <v>100</v>
      </c>
      <c r="B34" s="218">
        <v>0.0</v>
      </c>
      <c r="C34" s="220">
        <v>1.0</v>
      </c>
      <c r="D34" s="221">
        <v>2.0</v>
      </c>
      <c r="E34" s="221">
        <v>3.0</v>
      </c>
      <c r="F34" s="221">
        <v>4.0</v>
      </c>
      <c r="G34" s="221">
        <v>5.0</v>
      </c>
      <c r="H34" s="75"/>
      <c r="I34" s="7"/>
      <c r="J34" s="7"/>
      <c r="K34" s="7"/>
    </row>
    <row r="35" ht="15.75" customHeight="1">
      <c r="A35" s="75" t="s">
        <v>101</v>
      </c>
      <c r="B35" s="222"/>
      <c r="C35" s="224">
        <f t="shared" ref="C35:G35" si="17">C33/((1+$K$23)^C34)</f>
        <v>3567510.368</v>
      </c>
      <c r="D35" s="224">
        <f t="shared" si="17"/>
        <v>-19236271.49</v>
      </c>
      <c r="E35" s="224">
        <f t="shared" si="17"/>
        <v>-26016202.59</v>
      </c>
      <c r="F35" s="224">
        <f t="shared" si="17"/>
        <v>-7331391.013</v>
      </c>
      <c r="G35" s="224">
        <f t="shared" si="17"/>
        <v>56112137.14</v>
      </c>
      <c r="H35" s="227" t="s">
        <v>102</v>
      </c>
      <c r="I35" s="7"/>
      <c r="J35" s="7"/>
      <c r="K35" s="7"/>
    </row>
    <row r="36" ht="15.75" customHeight="1">
      <c r="A36" s="75" t="s">
        <v>103</v>
      </c>
      <c r="B36" s="228"/>
      <c r="C36" s="153"/>
      <c r="D36" s="153"/>
      <c r="E36" s="153"/>
      <c r="F36" s="153"/>
      <c r="G36" s="231">
        <f>G33*(1+K25)/(K23-K25)</f>
        <v>2199084702</v>
      </c>
      <c r="H36" s="227" t="s">
        <v>104</v>
      </c>
      <c r="I36" s="7"/>
      <c r="J36" s="7"/>
      <c r="K36" s="7"/>
    </row>
    <row r="37" ht="15.75" customHeight="1">
      <c r="A37" s="337" t="s">
        <v>105</v>
      </c>
      <c r="B37" s="343">
        <f>SUM(C35:G35,G36)</f>
        <v>2206180484</v>
      </c>
      <c r="C37" s="153"/>
      <c r="D37" s="153"/>
      <c r="E37" s="153"/>
      <c r="F37" s="183"/>
      <c r="G37" s="183"/>
      <c r="H37" s="75"/>
      <c r="I37" s="7"/>
      <c r="J37" s="7"/>
      <c r="K37" s="7"/>
    </row>
    <row r="38" ht="15.75" customHeight="1">
      <c r="A38" s="236" t="s">
        <v>106</v>
      </c>
      <c r="B38" s="238">
        <v>3.0425E8</v>
      </c>
      <c r="C38" s="350"/>
      <c r="D38" s="98"/>
      <c r="E38" s="98"/>
      <c r="F38" s="240" t="s">
        <v>108</v>
      </c>
      <c r="G38" s="241">
        <f>WACC!B30</f>
        <v>467100000</v>
      </c>
      <c r="I38" s="7"/>
      <c r="J38" s="7"/>
      <c r="K38" s="7"/>
    </row>
    <row r="39" ht="15.75" customHeight="1">
      <c r="A39" s="243" t="s">
        <v>167</v>
      </c>
      <c r="B39" s="354">
        <f>'Relative Valuation'!B8</f>
        <v>2.85</v>
      </c>
      <c r="C39" s="356" t="s">
        <v>111</v>
      </c>
      <c r="D39" s="98"/>
      <c r="E39" s="98"/>
      <c r="F39" s="249" t="s">
        <v>112</v>
      </c>
      <c r="G39" s="251">
        <f>B37-G38</f>
        <v>1739080484</v>
      </c>
      <c r="I39" s="7"/>
      <c r="J39" s="7"/>
      <c r="K39" s="7"/>
    </row>
    <row r="40" ht="15.75" customHeight="1">
      <c r="A40" s="243" t="s">
        <v>114</v>
      </c>
      <c r="B40" s="257">
        <f>B37/B38</f>
        <v>7.25120948</v>
      </c>
      <c r="C40" s="362">
        <f>(B39/B40)</f>
        <v>0.3930378798</v>
      </c>
      <c r="D40" s="98"/>
      <c r="E40" s="98"/>
      <c r="F40" s="98"/>
      <c r="G40" s="98"/>
      <c r="I40" s="7"/>
      <c r="J40" s="7"/>
      <c r="K40" s="7"/>
    </row>
    <row r="41" ht="15.75" customHeight="1">
      <c r="A41" s="243" t="s">
        <v>175</v>
      </c>
      <c r="B41" s="257">
        <f>B40-B39</f>
        <v>4.40120948</v>
      </c>
      <c r="C41" s="365"/>
      <c r="D41" s="259"/>
      <c r="E41" s="98"/>
      <c r="F41" s="98"/>
      <c r="G41" s="98"/>
      <c r="I41" s="7"/>
      <c r="J41" s="7"/>
      <c r="K41" s="7"/>
    </row>
    <row r="42" ht="15.75" customHeight="1">
      <c r="A42" s="262" t="s">
        <v>179</v>
      </c>
      <c r="B42" s="266">
        <f>B41*B38</f>
        <v>1339067984</v>
      </c>
      <c r="C42" s="370"/>
      <c r="D42" s="98"/>
      <c r="E42" s="98"/>
      <c r="F42" s="98"/>
      <c r="G42" s="98"/>
      <c r="I42" s="7"/>
      <c r="J42" s="7"/>
      <c r="K42" s="7"/>
    </row>
    <row r="43" ht="15.75" customHeight="1">
      <c r="A43" s="268"/>
      <c r="B43" s="270"/>
      <c r="C43" s="98"/>
      <c r="D43" s="98"/>
      <c r="E43" s="98"/>
      <c r="F43" s="98"/>
      <c r="G43" s="98"/>
      <c r="I43" s="7"/>
      <c r="J43" s="7"/>
      <c r="K43" s="7"/>
    </row>
    <row r="44" ht="15.75" customHeight="1">
      <c r="A44" s="7"/>
      <c r="B44" s="7"/>
      <c r="F44" s="7"/>
      <c r="G44" s="7"/>
      <c r="I44" s="7"/>
      <c r="J44" s="7"/>
      <c r="K44" s="7"/>
    </row>
    <row r="45" ht="15.75" customHeight="1">
      <c r="A45" s="7"/>
      <c r="B45" s="7"/>
      <c r="F45" s="7"/>
      <c r="G45" s="7"/>
      <c r="I45" s="7"/>
      <c r="J45" s="7"/>
      <c r="K45" s="7"/>
    </row>
    <row r="46" ht="15.75" customHeight="1">
      <c r="A46" s="242" t="s">
        <v>97</v>
      </c>
      <c r="C46" s="7"/>
      <c r="D46" s="7"/>
      <c r="E46" s="7"/>
      <c r="F46" s="7"/>
      <c r="G46" s="7"/>
      <c r="H46" s="75"/>
      <c r="I46" s="7"/>
      <c r="J46" s="7"/>
      <c r="K46" s="7"/>
    </row>
    <row r="47" ht="15.75" customHeight="1">
      <c r="A47" s="244" t="s">
        <v>107</v>
      </c>
      <c r="B47" s="15">
        <v>2023.0</v>
      </c>
      <c r="C47" s="247" t="s">
        <v>4</v>
      </c>
      <c r="D47" s="247" t="str">
        <f t="shared" ref="D47:G47" si="18">D20</f>
        <v>2025E</v>
      </c>
      <c r="E47" s="247" t="str">
        <f t="shared" si="18"/>
        <v>2026E</v>
      </c>
      <c r="F47" s="247" t="str">
        <f t="shared" si="18"/>
        <v>2027E</v>
      </c>
      <c r="G47" s="247" t="str">
        <f t="shared" si="18"/>
        <v>2028E</v>
      </c>
      <c r="H47" s="75"/>
      <c r="I47" s="7"/>
      <c r="J47" s="7"/>
      <c r="K47" s="7"/>
    </row>
    <row r="48" ht="15.75" customHeight="1">
      <c r="A48" s="77" t="s">
        <v>109</v>
      </c>
      <c r="B48" s="55">
        <f t="shared" ref="B48:G48" si="19">B21*$K$22</f>
        <v>146546042.5</v>
      </c>
      <c r="C48" s="55">
        <f t="shared" si="19"/>
        <v>171344727.6</v>
      </c>
      <c r="D48" s="55">
        <f t="shared" si="19"/>
        <v>208393076.1</v>
      </c>
      <c r="E48" s="55">
        <f t="shared" si="19"/>
        <v>263246534.6</v>
      </c>
      <c r="F48" s="55">
        <f t="shared" si="19"/>
        <v>344911168.8</v>
      </c>
      <c r="G48" s="55">
        <f t="shared" si="19"/>
        <v>468120722.1</v>
      </c>
      <c r="H48" s="254"/>
      <c r="I48" s="7"/>
      <c r="J48" s="7"/>
      <c r="K48" s="7"/>
    </row>
    <row r="49" ht="15.75" customHeight="1">
      <c r="A49" s="77" t="s">
        <v>113</v>
      </c>
      <c r="B49" s="250"/>
      <c r="C49" s="55">
        <f t="shared" ref="C49:G49" si="20">C48-B48</f>
        <v>24798685.12</v>
      </c>
      <c r="D49" s="55">
        <f t="shared" si="20"/>
        <v>37048348.54</v>
      </c>
      <c r="E49" s="55">
        <f t="shared" si="20"/>
        <v>54853458.45</v>
      </c>
      <c r="F49" s="55">
        <f t="shared" si="20"/>
        <v>81664634.23</v>
      </c>
      <c r="G49" s="55">
        <f t="shared" si="20"/>
        <v>123209553.3</v>
      </c>
      <c r="H49" s="254"/>
      <c r="I49" s="7"/>
      <c r="J49" s="7"/>
      <c r="K49" s="7"/>
    </row>
    <row r="50" ht="15.75" customHeight="1">
      <c r="H50" s="7"/>
      <c r="I50" s="7"/>
      <c r="J50" s="7"/>
      <c r="K50" s="7"/>
      <c r="L50" s="7"/>
    </row>
    <row r="51" ht="15.75" customHeight="1">
      <c r="A51" s="264" t="s">
        <v>192</v>
      </c>
      <c r="B51" s="258"/>
      <c r="C51" s="260"/>
      <c r="H51" s="7"/>
      <c r="I51" s="7"/>
      <c r="L51" s="7"/>
    </row>
    <row r="52" ht="15.75" customHeight="1">
      <c r="A52" s="399" t="s">
        <v>82</v>
      </c>
      <c r="B52" s="400" t="s">
        <v>112</v>
      </c>
      <c r="C52" s="401" t="s">
        <v>105</v>
      </c>
      <c r="D52" s="85"/>
      <c r="E52" s="85"/>
      <c r="F52" s="85"/>
      <c r="G52" s="85"/>
    </row>
    <row r="53" ht="15.75" customHeight="1">
      <c r="A53" s="276">
        <v>0.04</v>
      </c>
      <c r="B53" s="277">
        <v>4.674011582E9</v>
      </c>
      <c r="C53" s="279">
        <v>5.141111582E9</v>
      </c>
      <c r="D53" s="85"/>
      <c r="E53" s="85"/>
      <c r="F53" s="85"/>
      <c r="G53" s="85"/>
    </row>
    <row r="54" ht="15.75" customHeight="1">
      <c r="A54" s="276">
        <v>0.045</v>
      </c>
      <c r="B54" s="277">
        <v>3.390466924E9</v>
      </c>
      <c r="C54" s="279">
        <v>3.857566924E9</v>
      </c>
      <c r="D54" s="85"/>
      <c r="E54" s="85"/>
      <c r="F54" s="85"/>
      <c r="G54" s="85"/>
    </row>
    <row r="55" ht="15.75" customHeight="1">
      <c r="A55" s="276">
        <v>0.05</v>
      </c>
      <c r="B55" s="277">
        <v>2.620069851E9</v>
      </c>
      <c r="C55" s="279">
        <v>3.087169851E9</v>
      </c>
    </row>
    <row r="56" ht="15.75" customHeight="1">
      <c r="A56" s="283">
        <v>0.055</v>
      </c>
      <c r="B56" s="284">
        <v>2.106259447E9</v>
      </c>
      <c r="C56" s="285">
        <v>2.573359447E9</v>
      </c>
    </row>
    <row r="57" ht="15.75" customHeight="1">
      <c r="A57" s="286">
        <v>0.0573</v>
      </c>
      <c r="B57" s="288">
        <f>'Fundamental Valuation'!G37</f>
        <v>1921741309</v>
      </c>
      <c r="C57" s="289">
        <v>2.38884130891E9</v>
      </c>
    </row>
    <row r="58" ht="15.75" customHeight="1">
      <c r="A58" s="283">
        <v>0.06</v>
      </c>
      <c r="B58" s="284">
        <v>1.739080484E9</v>
      </c>
      <c r="C58" s="285">
        <v>2.206180484E9</v>
      </c>
    </row>
    <row r="59" ht="15.75" customHeight="1">
      <c r="A59" s="276">
        <v>0.065</v>
      </c>
      <c r="B59" s="277">
        <v>1.463554889E9</v>
      </c>
      <c r="C59" s="279">
        <v>1.930654889E9</v>
      </c>
    </row>
    <row r="60" ht="15.75" customHeight="1">
      <c r="A60" s="276">
        <v>0.07</v>
      </c>
      <c r="B60" s="277">
        <v>1.249138904E9</v>
      </c>
      <c r="C60" s="279">
        <v>1.716238904E9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G1"/>
    <mergeCell ref="A16:H16"/>
    <mergeCell ref="C19:G19"/>
    <mergeCell ref="J20:K20"/>
    <mergeCell ref="A51:C5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76DCC"/>
    <pageSetUpPr/>
  </sheetPr>
  <sheetViews>
    <sheetView workbookViewId="0"/>
  </sheetViews>
  <sheetFormatPr customHeight="1" defaultColWidth="11.22" defaultRowHeight="15.0"/>
  <cols>
    <col customWidth="1" min="1" max="1" width="36.44"/>
    <col customWidth="1" min="2" max="2" width="11.44"/>
    <col customWidth="1" min="3" max="3" width="18.33"/>
    <col customWidth="1" min="4" max="4" width="16.78"/>
    <col customWidth="1" min="5" max="5" width="20.11"/>
    <col customWidth="1" min="6" max="6" width="18.44"/>
    <col customWidth="1" min="7" max="7" width="20.11"/>
    <col customWidth="1" min="8" max="8" width="19.0"/>
    <col customWidth="1" min="9" max="9" width="21.33"/>
    <col customWidth="1" min="10" max="10" width="17.11"/>
    <col customWidth="1" min="11" max="11" width="11.0"/>
    <col customWidth="1" min="12" max="12" width="19.67"/>
    <col customWidth="1" min="13" max="13" width="16.67"/>
    <col customWidth="1" min="14" max="14" width="18.11"/>
    <col customWidth="1" min="15" max="15" width="12.11"/>
    <col customWidth="1" min="16" max="16" width="15.33"/>
    <col customWidth="1" min="17" max="17" width="16.33"/>
    <col customWidth="1" min="18" max="26" width="11.44"/>
  </cols>
  <sheetData>
    <row r="1" ht="15.75" customHeight="1">
      <c r="E1" s="303" t="s">
        <v>129</v>
      </c>
      <c r="F1" s="305"/>
      <c r="G1" s="305"/>
      <c r="H1" s="305"/>
      <c r="I1" s="305"/>
      <c r="J1" s="305"/>
      <c r="K1" s="305"/>
      <c r="L1" s="306"/>
      <c r="M1" s="308"/>
      <c r="N1" s="311"/>
      <c r="Q1" s="311"/>
    </row>
    <row r="2" ht="15.75" customHeight="1">
      <c r="A2" s="313" t="s">
        <v>137</v>
      </c>
      <c r="B2" s="314"/>
      <c r="C2" s="314"/>
      <c r="D2" s="314"/>
      <c r="E2" s="316"/>
      <c r="F2" s="314"/>
      <c r="G2" s="316"/>
      <c r="H2" s="316"/>
      <c r="I2" s="316"/>
      <c r="J2" s="314"/>
      <c r="K2" s="314"/>
      <c r="L2" s="316"/>
      <c r="M2" s="316"/>
      <c r="N2" s="320"/>
      <c r="O2" s="7"/>
      <c r="Q2" s="311" t="s">
        <v>139</v>
      </c>
    </row>
    <row r="3" ht="15.75" customHeight="1">
      <c r="A3" s="323" t="s">
        <v>140</v>
      </c>
      <c r="B3" s="325" t="s">
        <v>141</v>
      </c>
      <c r="C3" s="325" t="s">
        <v>143</v>
      </c>
      <c r="D3" s="325" t="s">
        <v>144</v>
      </c>
      <c r="E3" s="316" t="s">
        <v>145</v>
      </c>
      <c r="F3" s="327" t="s">
        <v>146</v>
      </c>
      <c r="G3" s="316" t="s">
        <v>147</v>
      </c>
      <c r="H3" s="316" t="s">
        <v>148</v>
      </c>
      <c r="I3" s="316" t="s">
        <v>105</v>
      </c>
      <c r="J3" s="327" t="s">
        <v>149</v>
      </c>
      <c r="K3" s="327" t="s">
        <v>150</v>
      </c>
      <c r="L3" s="316" t="s">
        <v>151</v>
      </c>
      <c r="M3" s="316" t="s">
        <v>152</v>
      </c>
      <c r="N3" s="316" t="s">
        <v>153</v>
      </c>
      <c r="O3" s="327" t="s">
        <v>154</v>
      </c>
      <c r="P3" s="327" t="s">
        <v>155</v>
      </c>
      <c r="Q3" s="316" t="s">
        <v>157</v>
      </c>
    </row>
    <row r="4" ht="15.75" customHeight="1">
      <c r="A4" s="7" t="s">
        <v>158</v>
      </c>
      <c r="B4" s="98">
        <v>2.17</v>
      </c>
      <c r="C4" s="98">
        <v>3.1583E8</v>
      </c>
      <c r="D4" s="98">
        <v>13.24</v>
      </c>
      <c r="E4" s="334">
        <v>6.3167E8</v>
      </c>
      <c r="F4" s="335">
        <v>6.372E8</v>
      </c>
      <c r="G4" s="334">
        <v>1.260133E9</v>
      </c>
      <c r="H4" s="334">
        <v>8.85E7</v>
      </c>
      <c r="I4" s="334">
        <v>6.6981E8</v>
      </c>
      <c r="J4" s="344">
        <f t="shared" ref="J4:J5" si="1">B4/D4</f>
        <v>0.163897281</v>
      </c>
      <c r="K4" s="346">
        <v>2.0</v>
      </c>
      <c r="L4" s="349">
        <f>I4/H4</f>
        <v>7.568474576</v>
      </c>
      <c r="M4" s="349">
        <f t="shared" ref="M4:M8" si="2">I4/F4</f>
        <v>1.051177024</v>
      </c>
      <c r="N4" s="351">
        <f t="shared" ref="N4:N5" si="3">I4/G4</f>
        <v>0.5315391312</v>
      </c>
      <c r="O4" s="352">
        <f t="shared" ref="O4:O8" si="4">E4/G4</f>
        <v>0.5012724847</v>
      </c>
      <c r="P4" s="111">
        <f t="shared" ref="P4:P8" si="5">E4/F4</f>
        <v>0.9913214062</v>
      </c>
      <c r="Q4" s="357">
        <f t="shared" ref="Q4:Q8" si="6">E4/$E$9</f>
        <v>0.09489279174</v>
      </c>
    </row>
    <row r="5" ht="15.75" customHeight="1">
      <c r="A5" s="7" t="s">
        <v>170</v>
      </c>
      <c r="B5" s="98">
        <v>6.24</v>
      </c>
      <c r="C5" s="98">
        <v>7.2198E8</v>
      </c>
      <c r="D5" s="98">
        <v>19.24</v>
      </c>
      <c r="E5" s="334">
        <v>4.511E9</v>
      </c>
      <c r="F5" s="335">
        <v>1.8489E8</v>
      </c>
      <c r="G5" s="334">
        <v>1.461993935E9</v>
      </c>
      <c r="H5" s="334">
        <v>2.0162E8</v>
      </c>
      <c r="I5" s="334">
        <v>2.88661E9</v>
      </c>
      <c r="J5" s="344">
        <f t="shared" si="1"/>
        <v>0.3243243243</v>
      </c>
      <c r="K5" s="346">
        <v>3.34</v>
      </c>
      <c r="L5" s="349">
        <v>14.32</v>
      </c>
      <c r="M5" s="349">
        <f t="shared" si="2"/>
        <v>15.61258045</v>
      </c>
      <c r="N5" s="351">
        <f t="shared" si="3"/>
        <v>1.974433635</v>
      </c>
      <c r="O5" s="352">
        <f t="shared" si="4"/>
        <v>3.085512116</v>
      </c>
      <c r="P5" s="111">
        <f t="shared" si="5"/>
        <v>24.39829088</v>
      </c>
      <c r="Q5" s="357">
        <f t="shared" si="6"/>
        <v>0.6776661604</v>
      </c>
    </row>
    <row r="6" ht="15.75" customHeight="1">
      <c r="A6" s="7" t="s">
        <v>173</v>
      </c>
      <c r="B6" s="98">
        <v>4.19</v>
      </c>
      <c r="C6" s="98">
        <v>1.068E7</v>
      </c>
      <c r="D6" s="98">
        <v>16.2</v>
      </c>
      <c r="E6" s="334">
        <v>4.5E7</v>
      </c>
      <c r="F6" s="335">
        <v>2281740.0</v>
      </c>
      <c r="G6" s="361">
        <v>4.679387E7</v>
      </c>
      <c r="H6" s="334">
        <v>3212660.0</v>
      </c>
      <c r="I6" s="334">
        <v>3.612E7</v>
      </c>
      <c r="J6" s="344">
        <f t="shared" ref="J6:J7" si="7">E6/F6</f>
        <v>19.72179126</v>
      </c>
      <c r="K6" s="346">
        <v>0.88</v>
      </c>
      <c r="L6" s="349">
        <v>11.24</v>
      </c>
      <c r="M6" s="349">
        <f t="shared" si="2"/>
        <v>15.83002446</v>
      </c>
      <c r="N6" s="351">
        <f>E6/G6</f>
        <v>0.9616644231</v>
      </c>
      <c r="O6" s="352">
        <f t="shared" si="4"/>
        <v>0.9616644231</v>
      </c>
      <c r="P6" s="111">
        <f t="shared" si="5"/>
        <v>19.72179126</v>
      </c>
      <c r="Q6" s="357">
        <f t="shared" si="6"/>
        <v>0.006760136825</v>
      </c>
    </row>
    <row r="7" ht="15.75" customHeight="1">
      <c r="A7" s="7" t="s">
        <v>180</v>
      </c>
      <c r="B7" s="98">
        <v>0.15</v>
      </c>
      <c r="C7" s="98">
        <v>7.3927E8</v>
      </c>
      <c r="D7" s="98">
        <v>-14.66</v>
      </c>
      <c r="E7" s="334">
        <v>1.34E8</v>
      </c>
      <c r="F7" s="335">
        <v>-7.1385971E7</v>
      </c>
      <c r="G7" s="334">
        <v>6.0110627E7</v>
      </c>
      <c r="H7" s="334">
        <v>-6.7382191E7</v>
      </c>
      <c r="I7" s="334">
        <v>1.1142E8</v>
      </c>
      <c r="J7" s="344">
        <f t="shared" si="7"/>
        <v>-1.877119525</v>
      </c>
      <c r="K7" s="346">
        <v>3.19</v>
      </c>
      <c r="L7" s="349">
        <f t="shared" ref="L7:L8" si="8">I7/H7</f>
        <v>-1.653552643</v>
      </c>
      <c r="M7" s="349">
        <f t="shared" si="2"/>
        <v>-1.560810877</v>
      </c>
      <c r="N7" s="351">
        <f t="shared" ref="N7:N8" si="9">I7/G7</f>
        <v>1.853582396</v>
      </c>
      <c r="O7" s="352">
        <f t="shared" si="4"/>
        <v>2.229223129</v>
      </c>
      <c r="P7" s="111">
        <f t="shared" si="5"/>
        <v>-1.877119525</v>
      </c>
      <c r="Q7" s="357">
        <f t="shared" si="6"/>
        <v>0.02013018521</v>
      </c>
    </row>
    <row r="8" ht="15.75" customHeight="1">
      <c r="A8" s="376" t="s">
        <v>185</v>
      </c>
      <c r="B8" s="377">
        <v>2.85</v>
      </c>
      <c r="C8" s="377">
        <v>3.0425E8</v>
      </c>
      <c r="D8" s="377">
        <v>-75.6</v>
      </c>
      <c r="E8" s="334">
        <v>1.335E9</v>
      </c>
      <c r="F8" s="380">
        <f>'Income Statement '!F19</f>
        <v>24100000</v>
      </c>
      <c r="G8" s="334">
        <f>'Income Statement '!F3</f>
        <v>3387200000</v>
      </c>
      <c r="H8" s="334">
        <f>'Income Statement '!F19+('Income Statement '!F18*-1)</f>
        <v>48200000</v>
      </c>
      <c r="I8" s="334">
        <v>1.26781E9</v>
      </c>
      <c r="J8" s="386">
        <f>B8/D8</f>
        <v>-0.0376984127</v>
      </c>
      <c r="K8" s="387">
        <v>0.86</v>
      </c>
      <c r="L8" s="349">
        <f t="shared" si="8"/>
        <v>26.30311203</v>
      </c>
      <c r="M8" s="349">
        <f t="shared" si="2"/>
        <v>52.60622407</v>
      </c>
      <c r="N8" s="351">
        <f t="shared" si="9"/>
        <v>0.3742944025</v>
      </c>
      <c r="O8" s="390">
        <f t="shared" si="4"/>
        <v>0.3941308455</v>
      </c>
      <c r="P8" s="393">
        <f t="shared" si="5"/>
        <v>55.39419087</v>
      </c>
      <c r="Q8" s="357">
        <f t="shared" si="6"/>
        <v>0.2005507258</v>
      </c>
    </row>
    <row r="9" ht="15.75" customHeight="1">
      <c r="A9" s="268"/>
      <c r="B9" s="7"/>
      <c r="C9" s="7"/>
      <c r="D9" s="268" t="s">
        <v>190</v>
      </c>
      <c r="E9" s="395">
        <f>SUM(E4:E8)</f>
        <v>6656670000</v>
      </c>
      <c r="F9" s="396"/>
      <c r="G9" s="398"/>
      <c r="H9" s="398"/>
      <c r="I9" s="398"/>
      <c r="J9" s="396">
        <f t="shared" ref="J9:P9" si="10">AVERAGE(J4:J8)</f>
        <v>3.659038986</v>
      </c>
      <c r="K9" s="396">
        <f t="shared" si="10"/>
        <v>2.054</v>
      </c>
      <c r="L9" s="398">
        <f t="shared" si="10"/>
        <v>11.55560679</v>
      </c>
      <c r="M9" s="398">
        <f t="shared" si="10"/>
        <v>16.70783902</v>
      </c>
      <c r="N9" s="398">
        <f t="shared" si="10"/>
        <v>1.139102798</v>
      </c>
      <c r="O9" s="396">
        <f t="shared" si="10"/>
        <v>1.4343606</v>
      </c>
      <c r="P9" s="396">
        <f t="shared" si="10"/>
        <v>19.72569498</v>
      </c>
      <c r="Q9" s="357">
        <f>SUM(Q4:Q8)</f>
        <v>1</v>
      </c>
    </row>
    <row r="10" ht="15.75" customHeight="1">
      <c r="A10" s="268"/>
      <c r="B10" s="7"/>
      <c r="C10" s="7"/>
      <c r="D10" s="268"/>
      <c r="E10" s="402"/>
      <c r="F10" s="396"/>
      <c r="G10" s="403"/>
      <c r="H10" s="403"/>
      <c r="I10" s="403"/>
      <c r="J10" s="396"/>
      <c r="L10" s="403"/>
      <c r="M10" s="403"/>
      <c r="N10" s="404"/>
      <c r="O10" s="405"/>
      <c r="Q10" s="406"/>
    </row>
    <row r="11" ht="15.75" customHeight="1">
      <c r="A11" s="408" t="s">
        <v>193</v>
      </c>
      <c r="B11" s="408" t="s">
        <v>194</v>
      </c>
      <c r="C11" s="408" t="s">
        <v>195</v>
      </c>
      <c r="D11" s="408" t="s">
        <v>196</v>
      </c>
      <c r="E11" s="408" t="s">
        <v>197</v>
      </c>
      <c r="G11" s="409"/>
      <c r="H11" s="409"/>
      <c r="I11" s="409"/>
      <c r="L11" s="409"/>
      <c r="M11" s="409"/>
      <c r="N11" s="409"/>
      <c r="Q11" s="409"/>
    </row>
    <row r="12" ht="15.75" customHeight="1">
      <c r="A12" s="7" t="s">
        <v>158</v>
      </c>
      <c r="B12" s="411">
        <f t="shared" ref="B12:B16" si="12">Q4</f>
        <v>0.09489279174</v>
      </c>
      <c r="C12" s="411">
        <f t="shared" ref="C12:E12" si="11">$B$12*L4</f>
        <v>0.7181936818</v>
      </c>
      <c r="D12" s="411">
        <f t="shared" si="11"/>
        <v>0.09974912247</v>
      </c>
      <c r="E12" s="411">
        <f t="shared" si="11"/>
        <v>0.05043923208</v>
      </c>
      <c r="G12" s="409"/>
      <c r="H12" s="409"/>
      <c r="I12" s="409"/>
      <c r="L12" s="409"/>
      <c r="M12" s="409"/>
      <c r="N12" s="409"/>
      <c r="Q12" s="409"/>
    </row>
    <row r="13" ht="15.75" customHeight="1">
      <c r="A13" s="7" t="s">
        <v>170</v>
      </c>
      <c r="B13" s="411">
        <f t="shared" si="12"/>
        <v>0.6776661604</v>
      </c>
      <c r="C13" s="411">
        <f t="shared" ref="C13:E13" si="13">$B$13*L5</f>
        <v>9.704179417</v>
      </c>
      <c r="D13" s="411">
        <f t="shared" si="13"/>
        <v>10.58011745</v>
      </c>
      <c r="E13" s="411">
        <f t="shared" si="13"/>
        <v>1.338006861</v>
      </c>
      <c r="G13" s="409"/>
      <c r="H13" s="409"/>
      <c r="I13" s="409"/>
      <c r="L13" s="409"/>
      <c r="M13" s="409"/>
      <c r="N13" s="409"/>
      <c r="Q13" s="409"/>
    </row>
    <row r="14" ht="15.75" customHeight="1">
      <c r="A14" s="7" t="s">
        <v>173</v>
      </c>
      <c r="B14" s="411">
        <f t="shared" si="12"/>
        <v>0.006760136825</v>
      </c>
      <c r="C14" s="411">
        <f t="shared" ref="C14:E14" si="14">$B$14*L6</f>
        <v>0.07598393791</v>
      </c>
      <c r="D14" s="411">
        <f t="shared" si="14"/>
        <v>0.1070131313</v>
      </c>
      <c r="E14" s="411">
        <f t="shared" si="14"/>
        <v>0.00650098308</v>
      </c>
      <c r="G14" s="409"/>
      <c r="H14" s="409"/>
      <c r="I14" s="409"/>
      <c r="L14" s="409"/>
      <c r="M14" s="409"/>
      <c r="N14" s="409"/>
      <c r="Q14" s="409"/>
    </row>
    <row r="15" ht="15.75" customHeight="1">
      <c r="A15" s="7" t="s">
        <v>180</v>
      </c>
      <c r="B15" s="411">
        <f t="shared" si="12"/>
        <v>0.02013018521</v>
      </c>
      <c r="C15" s="411">
        <f t="shared" ref="C15:E15" si="15">$B$15*L7</f>
        <v>-0.03328632096</v>
      </c>
      <c r="D15" s="411">
        <f t="shared" si="15"/>
        <v>-0.03141941204</v>
      </c>
      <c r="E15" s="411">
        <f t="shared" si="15"/>
        <v>0.03731295693</v>
      </c>
      <c r="G15" s="409"/>
      <c r="H15" s="409"/>
      <c r="I15" s="409"/>
      <c r="L15" s="409"/>
      <c r="M15" s="409"/>
      <c r="N15" s="409"/>
      <c r="Q15" s="409"/>
    </row>
    <row r="16" ht="15.75" customHeight="1">
      <c r="A16" s="376" t="s">
        <v>185</v>
      </c>
      <c r="B16" s="414">
        <f t="shared" si="12"/>
        <v>0.2005507258</v>
      </c>
      <c r="C16" s="414">
        <f t="shared" ref="C16:E16" si="16">$B$16*L8</f>
        <v>5.275108209</v>
      </c>
      <c r="D16" s="414">
        <f t="shared" si="16"/>
        <v>10.55021642</v>
      </c>
      <c r="E16" s="414">
        <f t="shared" si="16"/>
        <v>0.07506501408</v>
      </c>
      <c r="G16" s="409"/>
      <c r="H16" s="409"/>
      <c r="I16" s="409"/>
      <c r="L16" s="409"/>
      <c r="M16" s="409"/>
      <c r="N16" s="409"/>
      <c r="Q16" s="409"/>
    </row>
    <row r="17" ht="15.75" customHeight="1">
      <c r="A17" s="415"/>
      <c r="B17" s="416"/>
      <c r="C17" s="415"/>
      <c r="D17" s="415"/>
      <c r="E17" s="415"/>
      <c r="G17" s="409"/>
      <c r="H17" s="409"/>
      <c r="I17" s="409"/>
      <c r="L17" s="409"/>
      <c r="M17" s="409"/>
      <c r="N17" s="409"/>
      <c r="Q17" s="409"/>
    </row>
    <row r="18" ht="15.75" customHeight="1">
      <c r="A18" s="415" t="s">
        <v>202</v>
      </c>
      <c r="B18" s="416">
        <f t="shared" ref="B18:E18" si="17">SUM(B12:B16)</f>
        <v>1</v>
      </c>
      <c r="C18" s="416">
        <f t="shared" si="17"/>
        <v>15.74017893</v>
      </c>
      <c r="D18" s="416">
        <f t="shared" si="17"/>
        <v>21.30567671</v>
      </c>
      <c r="E18" s="416">
        <f t="shared" si="17"/>
        <v>1.507325047</v>
      </c>
      <c r="G18" s="409"/>
      <c r="H18" s="409"/>
      <c r="I18" s="409"/>
      <c r="L18" s="409"/>
      <c r="M18" s="409"/>
      <c r="N18" s="409"/>
      <c r="Q18" s="409"/>
    </row>
    <row r="19" ht="15.75" customHeight="1">
      <c r="A19" s="415"/>
      <c r="B19" s="415"/>
      <c r="C19" s="415"/>
      <c r="D19" s="415"/>
      <c r="E19" s="415"/>
      <c r="F19" s="420"/>
      <c r="G19" s="421"/>
      <c r="H19" s="409"/>
      <c r="I19" s="409"/>
      <c r="L19" s="409"/>
      <c r="M19" s="409"/>
      <c r="N19" s="409"/>
      <c r="Q19" s="409"/>
    </row>
    <row r="20" ht="15.75" customHeight="1">
      <c r="A20" s="422" t="s">
        <v>135</v>
      </c>
      <c r="B20" s="423"/>
      <c r="C20" s="423">
        <f>C18*H8</f>
        <v>758676624.2</v>
      </c>
      <c r="D20" s="423">
        <f t="shared" ref="D20:E20" si="18">D18*F8</f>
        <v>513466808.7</v>
      </c>
      <c r="E20" s="423">
        <f t="shared" si="18"/>
        <v>5105611399</v>
      </c>
      <c r="G20" s="409"/>
      <c r="H20" s="409"/>
      <c r="I20" s="409"/>
      <c r="L20" s="409"/>
      <c r="M20" s="409"/>
      <c r="N20" s="409"/>
      <c r="Q20" s="409"/>
    </row>
    <row r="21" ht="15.75" customHeight="1">
      <c r="A21" s="424"/>
      <c r="C21" s="425" t="s">
        <v>204</v>
      </c>
      <c r="D21" s="426"/>
      <c r="E21" s="428">
        <f>AVERAGE(C20:E20)</f>
        <v>2125918277</v>
      </c>
      <c r="G21" s="409"/>
      <c r="H21" s="409"/>
      <c r="I21" s="409"/>
      <c r="L21" s="409"/>
      <c r="M21" s="409"/>
      <c r="N21" s="409"/>
      <c r="Q21" s="409"/>
    </row>
    <row r="22" ht="15.75" customHeight="1">
      <c r="C22" s="429" t="s">
        <v>199</v>
      </c>
      <c r="D22" s="306"/>
      <c r="E22" s="430">
        <f>E21/C8</f>
        <v>6.987406006</v>
      </c>
      <c r="G22" s="409"/>
      <c r="H22" s="409"/>
      <c r="I22" s="431"/>
      <c r="L22" s="409"/>
      <c r="M22" s="409"/>
      <c r="N22" s="409"/>
      <c r="Q22" s="409"/>
    </row>
    <row r="23" ht="15.75" customHeight="1">
      <c r="C23" s="429" t="s">
        <v>206</v>
      </c>
      <c r="D23" s="306"/>
      <c r="E23" s="434">
        <f>E22-B8</f>
        <v>4.137406006</v>
      </c>
      <c r="G23" s="409"/>
      <c r="H23" s="409"/>
      <c r="I23" s="409"/>
      <c r="L23" s="409"/>
      <c r="M23" s="409"/>
      <c r="N23" s="409"/>
      <c r="Q23" s="409"/>
    </row>
    <row r="24" ht="15.75" customHeight="1">
      <c r="C24" s="435" t="s">
        <v>209</v>
      </c>
      <c r="D24" s="436"/>
      <c r="E24" s="438">
        <f>E23*C8</f>
        <v>1258805777</v>
      </c>
      <c r="G24" s="409"/>
      <c r="H24" s="409"/>
      <c r="I24" s="409"/>
      <c r="L24" s="409"/>
      <c r="M24" s="409"/>
      <c r="N24" s="409"/>
      <c r="Q24" s="409"/>
    </row>
    <row r="25" ht="15.75" customHeight="1">
      <c r="G25" s="409"/>
      <c r="H25" s="409"/>
      <c r="I25" s="409"/>
      <c r="L25" s="409"/>
      <c r="M25" s="409"/>
      <c r="N25" s="409"/>
      <c r="Q25" s="409"/>
    </row>
    <row r="26" ht="15.75" customHeight="1">
      <c r="G26" s="409"/>
      <c r="H26" s="409"/>
      <c r="I26" s="409"/>
      <c r="L26" s="409"/>
      <c r="M26" s="409"/>
      <c r="N26" s="409"/>
      <c r="Q26" s="409"/>
    </row>
    <row r="27" ht="15.75" customHeight="1">
      <c r="G27" s="409"/>
      <c r="H27" s="409"/>
      <c r="I27" s="409"/>
      <c r="L27" s="409"/>
      <c r="M27" s="409"/>
      <c r="N27" s="409"/>
      <c r="Q27" s="409"/>
    </row>
    <row r="28" ht="15.75" customHeight="1">
      <c r="G28" s="409"/>
      <c r="H28" s="409"/>
      <c r="I28" s="409"/>
      <c r="L28" s="409"/>
      <c r="M28" s="409"/>
      <c r="N28" s="409"/>
      <c r="Q28" s="409"/>
    </row>
    <row r="29" ht="15.75" customHeight="1">
      <c r="G29" s="409"/>
      <c r="H29" s="409"/>
      <c r="I29" s="409"/>
      <c r="L29" s="409"/>
      <c r="M29" s="409"/>
      <c r="N29" s="409"/>
      <c r="Q29" s="409"/>
    </row>
    <row r="30" ht="15.75" customHeight="1">
      <c r="G30" s="409"/>
      <c r="H30" s="409"/>
      <c r="I30" s="409"/>
      <c r="L30" s="409"/>
      <c r="M30" s="409"/>
      <c r="N30" s="409"/>
      <c r="Q30" s="409"/>
    </row>
    <row r="31" ht="15.75" customHeight="1">
      <c r="G31" s="409"/>
      <c r="H31" s="409"/>
      <c r="I31" s="409"/>
      <c r="L31" s="409"/>
      <c r="M31" s="409"/>
      <c r="N31" s="409"/>
      <c r="Q31" s="409"/>
    </row>
    <row r="32" ht="15.75" customHeight="1">
      <c r="G32" s="409"/>
      <c r="H32" s="409"/>
      <c r="I32" s="409"/>
      <c r="L32" s="409"/>
      <c r="M32" s="409"/>
      <c r="N32" s="409"/>
      <c r="Q32" s="409"/>
    </row>
    <row r="33" ht="15.75" customHeight="1">
      <c r="G33" s="409"/>
      <c r="H33" s="409"/>
      <c r="I33" s="409"/>
      <c r="L33" s="409"/>
      <c r="M33" s="409"/>
      <c r="N33" s="409"/>
      <c r="Q33" s="409"/>
    </row>
    <row r="34" ht="15.75" customHeight="1">
      <c r="G34" s="409"/>
      <c r="H34" s="409"/>
      <c r="I34" s="409"/>
      <c r="L34" s="409"/>
      <c r="M34" s="409"/>
      <c r="N34" s="409"/>
      <c r="Q34" s="409"/>
    </row>
    <row r="35" ht="15.75" customHeight="1">
      <c r="G35" s="409"/>
      <c r="H35" s="409"/>
      <c r="I35" s="409"/>
      <c r="L35" s="409"/>
      <c r="M35" s="409"/>
      <c r="N35" s="409"/>
      <c r="Q35" s="409"/>
    </row>
    <row r="36" ht="15.75" customHeight="1">
      <c r="G36" s="409"/>
      <c r="H36" s="409"/>
      <c r="I36" s="409"/>
      <c r="L36" s="409"/>
      <c r="M36" s="409"/>
      <c r="N36" s="409"/>
      <c r="Q36" s="409"/>
    </row>
    <row r="37" ht="15.75" customHeight="1">
      <c r="G37" s="409"/>
      <c r="H37" s="409"/>
      <c r="I37" s="409"/>
      <c r="L37" s="409"/>
      <c r="M37" s="409"/>
      <c r="N37" s="409"/>
      <c r="Q37" s="409"/>
    </row>
    <row r="38" ht="15.75" customHeight="1">
      <c r="G38" s="409"/>
      <c r="H38" s="409"/>
      <c r="I38" s="409"/>
      <c r="L38" s="409"/>
      <c r="M38" s="409"/>
      <c r="N38" s="409"/>
      <c r="Q38" s="409"/>
    </row>
    <row r="39" ht="15.75" customHeight="1">
      <c r="G39" s="409"/>
      <c r="H39" s="409"/>
      <c r="I39" s="409"/>
      <c r="L39" s="409"/>
      <c r="M39" s="409"/>
      <c r="N39" s="409"/>
      <c r="Q39" s="409"/>
    </row>
    <row r="40" ht="15.75" customHeight="1">
      <c r="G40" s="409"/>
      <c r="H40" s="409"/>
      <c r="I40" s="409"/>
      <c r="L40" s="409"/>
      <c r="M40" s="409"/>
      <c r="N40" s="409"/>
      <c r="Q40" s="409"/>
    </row>
    <row r="41" ht="15.75" customHeight="1">
      <c r="G41" s="409"/>
      <c r="H41" s="409"/>
      <c r="I41" s="409"/>
      <c r="L41" s="409"/>
      <c r="M41" s="409"/>
      <c r="N41" s="409"/>
      <c r="Q41" s="409"/>
    </row>
    <row r="42" ht="15.75" customHeight="1">
      <c r="G42" s="409"/>
      <c r="H42" s="409"/>
      <c r="I42" s="409"/>
      <c r="L42" s="409"/>
      <c r="M42" s="409"/>
      <c r="N42" s="409"/>
      <c r="Q42" s="409"/>
    </row>
    <row r="43" ht="15.75" customHeight="1">
      <c r="G43" s="409"/>
      <c r="H43" s="409"/>
      <c r="I43" s="409"/>
      <c r="L43" s="409"/>
      <c r="M43" s="409"/>
      <c r="N43" s="409"/>
      <c r="Q43" s="409"/>
    </row>
    <row r="44" ht="15.75" customHeight="1">
      <c r="G44" s="409"/>
      <c r="H44" s="409"/>
      <c r="I44" s="409"/>
      <c r="L44" s="409"/>
      <c r="M44" s="409"/>
      <c r="N44" s="409"/>
      <c r="Q44" s="409"/>
    </row>
    <row r="45" ht="15.75" customHeight="1">
      <c r="G45" s="409"/>
      <c r="H45" s="409"/>
      <c r="I45" s="409"/>
      <c r="L45" s="409"/>
      <c r="M45" s="409"/>
      <c r="N45" s="409"/>
      <c r="Q45" s="409"/>
    </row>
    <row r="46" ht="15.75" customHeight="1">
      <c r="G46" s="409"/>
      <c r="H46" s="409"/>
      <c r="I46" s="409"/>
      <c r="L46" s="409"/>
      <c r="M46" s="409"/>
      <c r="N46" s="409"/>
      <c r="Q46" s="409"/>
    </row>
    <row r="47" ht="15.75" customHeight="1">
      <c r="G47" s="409"/>
      <c r="H47" s="409"/>
      <c r="I47" s="409"/>
      <c r="L47" s="409"/>
      <c r="M47" s="409"/>
      <c r="N47" s="409"/>
      <c r="Q47" s="409"/>
    </row>
    <row r="48" ht="15.75" customHeight="1">
      <c r="G48" s="409"/>
      <c r="H48" s="409"/>
      <c r="I48" s="409"/>
      <c r="L48" s="409"/>
      <c r="M48" s="409"/>
      <c r="N48" s="409"/>
      <c r="Q48" s="409"/>
    </row>
    <row r="49" ht="15.75" customHeight="1">
      <c r="G49" s="409"/>
      <c r="H49" s="409"/>
      <c r="I49" s="409"/>
      <c r="L49" s="409"/>
      <c r="M49" s="409"/>
      <c r="N49" s="409"/>
      <c r="Q49" s="409"/>
    </row>
    <row r="50" ht="15.75" customHeight="1">
      <c r="G50" s="409"/>
      <c r="H50" s="409"/>
      <c r="I50" s="409"/>
      <c r="L50" s="409"/>
      <c r="M50" s="409"/>
      <c r="N50" s="409"/>
      <c r="Q50" s="409"/>
    </row>
    <row r="51" ht="15.75" customHeight="1">
      <c r="G51" s="409"/>
      <c r="H51" s="409"/>
      <c r="I51" s="409"/>
      <c r="L51" s="409"/>
      <c r="M51" s="409"/>
      <c r="N51" s="409"/>
      <c r="Q51" s="409"/>
    </row>
    <row r="52" ht="15.75" customHeight="1">
      <c r="G52" s="409"/>
      <c r="H52" s="409"/>
      <c r="I52" s="409"/>
      <c r="L52" s="409"/>
      <c r="M52" s="409"/>
      <c r="N52" s="409"/>
      <c r="Q52" s="409"/>
    </row>
    <row r="53" ht="15.75" customHeight="1">
      <c r="G53" s="409"/>
      <c r="H53" s="409"/>
      <c r="I53" s="409"/>
      <c r="L53" s="409"/>
      <c r="M53" s="409"/>
      <c r="N53" s="409"/>
      <c r="Q53" s="409"/>
    </row>
    <row r="54" ht="15.75" customHeight="1">
      <c r="G54" s="409"/>
      <c r="H54" s="409"/>
      <c r="I54" s="409"/>
      <c r="L54" s="409"/>
      <c r="M54" s="409"/>
      <c r="N54" s="409"/>
      <c r="Q54" s="409"/>
    </row>
    <row r="55" ht="15.75" customHeight="1">
      <c r="G55" s="409"/>
      <c r="H55" s="409"/>
      <c r="I55" s="409"/>
      <c r="L55" s="409"/>
      <c r="M55" s="409"/>
      <c r="N55" s="409"/>
      <c r="Q55" s="409"/>
    </row>
    <row r="56" ht="15.75" customHeight="1">
      <c r="G56" s="409"/>
      <c r="H56" s="409"/>
      <c r="I56" s="409"/>
      <c r="L56" s="409"/>
      <c r="M56" s="409"/>
      <c r="N56" s="409"/>
      <c r="Q56" s="409"/>
    </row>
    <row r="57" ht="15.75" customHeight="1">
      <c r="G57" s="409"/>
      <c r="H57" s="409"/>
      <c r="I57" s="409"/>
      <c r="L57" s="409"/>
      <c r="M57" s="409"/>
      <c r="N57" s="409"/>
      <c r="Q57" s="409"/>
    </row>
    <row r="58" ht="15.75" customHeight="1">
      <c r="G58" s="409"/>
      <c r="H58" s="409"/>
      <c r="I58" s="409"/>
      <c r="L58" s="409"/>
      <c r="M58" s="409"/>
      <c r="N58" s="409"/>
      <c r="Q58" s="409"/>
    </row>
    <row r="59" ht="15.75" customHeight="1">
      <c r="G59" s="409"/>
      <c r="H59" s="409"/>
      <c r="I59" s="409"/>
      <c r="L59" s="409"/>
      <c r="M59" s="409"/>
      <c r="N59" s="409"/>
      <c r="Q59" s="409"/>
    </row>
    <row r="60" ht="15.75" customHeight="1">
      <c r="G60" s="409"/>
      <c r="H60" s="409"/>
      <c r="I60" s="409"/>
      <c r="L60" s="409"/>
      <c r="M60" s="409"/>
      <c r="N60" s="409"/>
      <c r="Q60" s="409"/>
    </row>
    <row r="61" ht="15.75" customHeight="1">
      <c r="G61" s="409"/>
      <c r="H61" s="409"/>
      <c r="I61" s="409"/>
      <c r="L61" s="409"/>
      <c r="M61" s="409"/>
      <c r="N61" s="409"/>
      <c r="Q61" s="409"/>
    </row>
    <row r="62" ht="15.75" customHeight="1">
      <c r="G62" s="409"/>
      <c r="H62" s="409"/>
      <c r="I62" s="409"/>
      <c r="L62" s="409"/>
      <c r="M62" s="409"/>
      <c r="N62" s="409"/>
      <c r="Q62" s="409"/>
    </row>
    <row r="63" ht="15.75" customHeight="1">
      <c r="G63" s="409"/>
      <c r="H63" s="409"/>
      <c r="I63" s="409"/>
      <c r="L63" s="409"/>
      <c r="M63" s="409"/>
      <c r="N63" s="409"/>
      <c r="Q63" s="409"/>
    </row>
    <row r="64" ht="15.75" customHeight="1">
      <c r="G64" s="409"/>
      <c r="H64" s="409"/>
      <c r="I64" s="409"/>
      <c r="L64" s="409"/>
      <c r="M64" s="409"/>
      <c r="N64" s="409"/>
      <c r="Q64" s="409"/>
    </row>
    <row r="65" ht="15.75" customHeight="1">
      <c r="G65" s="409"/>
      <c r="H65" s="409"/>
      <c r="I65" s="409"/>
      <c r="L65" s="409"/>
      <c r="M65" s="409"/>
      <c r="N65" s="409"/>
      <c r="Q65" s="409"/>
    </row>
    <row r="66" ht="15.75" customHeight="1">
      <c r="G66" s="409"/>
      <c r="H66" s="409"/>
      <c r="I66" s="409"/>
      <c r="L66" s="409"/>
      <c r="M66" s="409"/>
      <c r="N66" s="409"/>
      <c r="Q66" s="409"/>
    </row>
    <row r="67" ht="15.75" customHeight="1">
      <c r="G67" s="409"/>
      <c r="H67" s="409"/>
      <c r="I67" s="409"/>
      <c r="L67" s="409"/>
      <c r="M67" s="409"/>
      <c r="N67" s="409"/>
      <c r="Q67" s="409"/>
    </row>
    <row r="68" ht="15.75" customHeight="1">
      <c r="G68" s="409"/>
      <c r="H68" s="409"/>
      <c r="I68" s="409"/>
      <c r="L68" s="409"/>
      <c r="M68" s="409"/>
      <c r="N68" s="409"/>
      <c r="Q68" s="409"/>
    </row>
    <row r="69" ht="15.75" customHeight="1">
      <c r="G69" s="409"/>
      <c r="H69" s="409"/>
      <c r="I69" s="409"/>
      <c r="L69" s="409"/>
      <c r="M69" s="409"/>
      <c r="N69" s="409"/>
      <c r="Q69" s="409"/>
    </row>
    <row r="70" ht="15.75" customHeight="1">
      <c r="G70" s="409"/>
      <c r="H70" s="409"/>
      <c r="I70" s="409"/>
      <c r="L70" s="409"/>
      <c r="M70" s="409"/>
      <c r="N70" s="409"/>
      <c r="Q70" s="409"/>
    </row>
    <row r="71" ht="15.75" customHeight="1">
      <c r="G71" s="409"/>
      <c r="H71" s="409"/>
      <c r="I71" s="409"/>
      <c r="L71" s="409"/>
      <c r="M71" s="409"/>
      <c r="N71" s="409"/>
      <c r="Q71" s="409"/>
    </row>
    <row r="72" ht="15.75" customHeight="1">
      <c r="G72" s="409"/>
      <c r="H72" s="409"/>
      <c r="I72" s="409"/>
      <c r="L72" s="409"/>
      <c r="M72" s="409"/>
      <c r="N72" s="409"/>
      <c r="Q72" s="409"/>
    </row>
    <row r="73" ht="15.75" customHeight="1">
      <c r="G73" s="409"/>
      <c r="H73" s="409"/>
      <c r="I73" s="409"/>
      <c r="L73" s="409"/>
      <c r="M73" s="409"/>
      <c r="N73" s="409"/>
      <c r="Q73" s="409"/>
    </row>
    <row r="74" ht="15.75" customHeight="1">
      <c r="G74" s="409"/>
      <c r="H74" s="409"/>
      <c r="I74" s="409"/>
      <c r="L74" s="409"/>
      <c r="M74" s="409"/>
      <c r="N74" s="409"/>
      <c r="Q74" s="409"/>
    </row>
    <row r="75" ht="15.75" customHeight="1">
      <c r="G75" s="409"/>
      <c r="H75" s="409"/>
      <c r="I75" s="409"/>
      <c r="L75" s="409"/>
      <c r="M75" s="409"/>
      <c r="N75" s="409"/>
      <c r="Q75" s="409"/>
    </row>
    <row r="76" ht="15.75" customHeight="1">
      <c r="G76" s="409"/>
      <c r="H76" s="409"/>
      <c r="I76" s="409"/>
      <c r="L76" s="409"/>
      <c r="M76" s="409"/>
      <c r="N76" s="409"/>
      <c r="Q76" s="409"/>
    </row>
    <row r="77" ht="15.75" customHeight="1">
      <c r="G77" s="409"/>
      <c r="H77" s="409"/>
      <c r="I77" s="409"/>
      <c r="L77" s="409"/>
      <c r="M77" s="409"/>
      <c r="N77" s="409"/>
      <c r="Q77" s="409"/>
    </row>
    <row r="78" ht="15.75" customHeight="1">
      <c r="G78" s="409"/>
      <c r="H78" s="409"/>
      <c r="I78" s="409"/>
      <c r="L78" s="409"/>
      <c r="M78" s="409"/>
      <c r="N78" s="409"/>
      <c r="Q78" s="409"/>
    </row>
    <row r="79" ht="15.75" customHeight="1">
      <c r="G79" s="409"/>
      <c r="H79" s="409"/>
      <c r="I79" s="409"/>
      <c r="L79" s="409"/>
      <c r="M79" s="409"/>
      <c r="N79" s="409"/>
      <c r="Q79" s="409"/>
    </row>
    <row r="80" ht="15.75" customHeight="1">
      <c r="G80" s="409"/>
      <c r="H80" s="409"/>
      <c r="I80" s="409"/>
      <c r="L80" s="409"/>
      <c r="M80" s="409"/>
      <c r="N80" s="409"/>
      <c r="Q80" s="409"/>
    </row>
    <row r="81" ht="15.75" customHeight="1">
      <c r="G81" s="409"/>
      <c r="H81" s="409"/>
      <c r="I81" s="409"/>
      <c r="L81" s="409"/>
      <c r="M81" s="409"/>
      <c r="N81" s="409"/>
      <c r="Q81" s="409"/>
    </row>
    <row r="82" ht="15.75" customHeight="1">
      <c r="G82" s="409"/>
      <c r="H82" s="409"/>
      <c r="I82" s="409"/>
      <c r="L82" s="409"/>
      <c r="M82" s="409"/>
      <c r="N82" s="409"/>
      <c r="Q82" s="409"/>
    </row>
    <row r="83" ht="15.75" customHeight="1">
      <c r="G83" s="409"/>
      <c r="H83" s="409"/>
      <c r="I83" s="409"/>
      <c r="L83" s="409"/>
      <c r="M83" s="409"/>
      <c r="N83" s="409"/>
      <c r="Q83" s="409"/>
    </row>
    <row r="84" ht="15.75" customHeight="1">
      <c r="G84" s="409"/>
      <c r="H84" s="409"/>
      <c r="I84" s="409"/>
      <c r="L84" s="409"/>
      <c r="M84" s="409"/>
      <c r="N84" s="409"/>
      <c r="Q84" s="409"/>
    </row>
    <row r="85" ht="15.75" customHeight="1">
      <c r="G85" s="409"/>
      <c r="H85" s="409"/>
      <c r="I85" s="409"/>
      <c r="L85" s="409"/>
      <c r="M85" s="409"/>
      <c r="N85" s="409"/>
      <c r="Q85" s="409"/>
    </row>
    <row r="86" ht="15.75" customHeight="1">
      <c r="G86" s="409"/>
      <c r="H86" s="409"/>
      <c r="I86" s="409"/>
      <c r="L86" s="409"/>
      <c r="M86" s="409"/>
      <c r="N86" s="409"/>
      <c r="Q86" s="409"/>
    </row>
    <row r="87" ht="15.75" customHeight="1">
      <c r="G87" s="409"/>
      <c r="H87" s="409"/>
      <c r="I87" s="409"/>
      <c r="L87" s="409"/>
      <c r="M87" s="409"/>
      <c r="N87" s="409"/>
      <c r="Q87" s="409"/>
    </row>
    <row r="88" ht="15.75" customHeight="1">
      <c r="G88" s="409"/>
      <c r="H88" s="409"/>
      <c r="I88" s="409"/>
      <c r="L88" s="409"/>
      <c r="M88" s="409"/>
      <c r="N88" s="409"/>
      <c r="Q88" s="409"/>
    </row>
    <row r="89" ht="15.75" customHeight="1">
      <c r="G89" s="409"/>
      <c r="H89" s="409"/>
      <c r="I89" s="409"/>
      <c r="L89" s="409"/>
      <c r="M89" s="409"/>
      <c r="N89" s="409"/>
      <c r="Q89" s="409"/>
    </row>
    <row r="90" ht="15.75" customHeight="1">
      <c r="G90" s="409"/>
      <c r="H90" s="409"/>
      <c r="I90" s="409"/>
      <c r="L90" s="409"/>
      <c r="M90" s="409"/>
      <c r="N90" s="409"/>
      <c r="Q90" s="409"/>
    </row>
    <row r="91" ht="15.75" customHeight="1">
      <c r="G91" s="409"/>
      <c r="H91" s="409"/>
      <c r="I91" s="409"/>
      <c r="L91" s="409"/>
      <c r="M91" s="409"/>
      <c r="N91" s="409"/>
      <c r="Q91" s="409"/>
    </row>
    <row r="92" ht="15.75" customHeight="1">
      <c r="G92" s="409"/>
      <c r="H92" s="409"/>
      <c r="I92" s="409"/>
      <c r="L92" s="409"/>
      <c r="M92" s="409"/>
      <c r="N92" s="409"/>
      <c r="Q92" s="409"/>
    </row>
    <row r="93" ht="15.75" customHeight="1">
      <c r="G93" s="409"/>
      <c r="H93" s="409"/>
      <c r="I93" s="409"/>
      <c r="L93" s="409"/>
      <c r="M93" s="409"/>
      <c r="N93" s="409"/>
      <c r="Q93" s="409"/>
    </row>
    <row r="94" ht="15.75" customHeight="1">
      <c r="G94" s="409"/>
      <c r="H94" s="409"/>
      <c r="I94" s="409"/>
      <c r="L94" s="409"/>
      <c r="M94" s="409"/>
      <c r="N94" s="409"/>
      <c r="Q94" s="409"/>
    </row>
    <row r="95" ht="15.75" customHeight="1">
      <c r="G95" s="409"/>
      <c r="H95" s="409"/>
      <c r="I95" s="409"/>
      <c r="L95" s="409"/>
      <c r="M95" s="409"/>
      <c r="N95" s="409"/>
      <c r="Q95" s="409"/>
    </row>
    <row r="96" ht="15.75" customHeight="1">
      <c r="G96" s="409"/>
      <c r="H96" s="409"/>
      <c r="I96" s="409"/>
      <c r="L96" s="409"/>
      <c r="M96" s="409"/>
      <c r="N96" s="409"/>
      <c r="Q96" s="409"/>
    </row>
    <row r="97" ht="15.75" customHeight="1">
      <c r="G97" s="409"/>
      <c r="H97" s="409"/>
      <c r="I97" s="409"/>
      <c r="L97" s="409"/>
      <c r="M97" s="409"/>
      <c r="N97" s="409"/>
      <c r="Q97" s="409"/>
    </row>
    <row r="98" ht="15.75" customHeight="1">
      <c r="G98" s="409"/>
      <c r="H98" s="409"/>
      <c r="I98" s="409"/>
      <c r="L98" s="409"/>
      <c r="M98" s="409"/>
      <c r="N98" s="409"/>
      <c r="Q98" s="409"/>
    </row>
    <row r="99" ht="15.75" customHeight="1">
      <c r="G99" s="409"/>
      <c r="H99" s="409"/>
      <c r="I99" s="409"/>
      <c r="L99" s="409"/>
      <c r="M99" s="409"/>
      <c r="N99" s="409"/>
      <c r="Q99" s="409"/>
    </row>
    <row r="100" ht="15.75" customHeight="1">
      <c r="G100" s="409"/>
      <c r="H100" s="409"/>
      <c r="I100" s="409"/>
      <c r="L100" s="409"/>
      <c r="M100" s="409"/>
      <c r="N100" s="409"/>
      <c r="Q100" s="409"/>
    </row>
    <row r="101" ht="15.75" customHeight="1">
      <c r="G101" s="409"/>
      <c r="H101" s="409"/>
      <c r="I101" s="409"/>
      <c r="L101" s="409"/>
      <c r="M101" s="409"/>
      <c r="N101" s="409"/>
      <c r="Q101" s="409"/>
    </row>
    <row r="102" ht="15.75" customHeight="1">
      <c r="G102" s="409"/>
      <c r="H102" s="409"/>
      <c r="I102" s="409"/>
      <c r="L102" s="409"/>
      <c r="M102" s="409"/>
      <c r="N102" s="409"/>
      <c r="Q102" s="409"/>
    </row>
    <row r="103" ht="15.75" customHeight="1">
      <c r="G103" s="409"/>
      <c r="H103" s="409"/>
      <c r="I103" s="409"/>
      <c r="L103" s="409"/>
      <c r="M103" s="409"/>
      <c r="N103" s="409"/>
      <c r="Q103" s="409"/>
    </row>
    <row r="104" ht="15.75" customHeight="1">
      <c r="G104" s="409"/>
      <c r="H104" s="409"/>
      <c r="I104" s="409"/>
      <c r="L104" s="409"/>
      <c r="M104" s="409"/>
      <c r="N104" s="409"/>
      <c r="Q104" s="409"/>
    </row>
    <row r="105" ht="15.75" customHeight="1">
      <c r="G105" s="409"/>
      <c r="H105" s="409"/>
      <c r="I105" s="409"/>
      <c r="L105" s="409"/>
      <c r="M105" s="409"/>
      <c r="N105" s="409"/>
      <c r="Q105" s="409"/>
    </row>
    <row r="106" ht="15.75" customHeight="1">
      <c r="G106" s="409"/>
      <c r="H106" s="409"/>
      <c r="I106" s="409"/>
      <c r="L106" s="409"/>
      <c r="M106" s="409"/>
      <c r="N106" s="409"/>
      <c r="Q106" s="409"/>
    </row>
    <row r="107" ht="15.75" customHeight="1">
      <c r="G107" s="409"/>
      <c r="H107" s="409"/>
      <c r="I107" s="409"/>
      <c r="L107" s="409"/>
      <c r="M107" s="409"/>
      <c r="N107" s="409"/>
      <c r="Q107" s="409"/>
    </row>
    <row r="108" ht="15.75" customHeight="1">
      <c r="G108" s="409"/>
      <c r="H108" s="409"/>
      <c r="I108" s="409"/>
      <c r="L108" s="409"/>
      <c r="M108" s="409"/>
      <c r="N108" s="409"/>
      <c r="Q108" s="409"/>
    </row>
    <row r="109" ht="15.75" customHeight="1">
      <c r="G109" s="409"/>
      <c r="H109" s="409"/>
      <c r="I109" s="409"/>
      <c r="L109" s="409"/>
      <c r="M109" s="409"/>
      <c r="N109" s="409"/>
      <c r="Q109" s="409"/>
    </row>
    <row r="110" ht="15.75" customHeight="1">
      <c r="G110" s="409"/>
      <c r="H110" s="409"/>
      <c r="I110" s="409"/>
      <c r="L110" s="409"/>
      <c r="M110" s="409"/>
      <c r="N110" s="409"/>
      <c r="Q110" s="409"/>
    </row>
    <row r="111" ht="15.75" customHeight="1">
      <c r="G111" s="409"/>
      <c r="H111" s="409"/>
      <c r="I111" s="409"/>
      <c r="L111" s="409"/>
      <c r="M111" s="409"/>
      <c r="N111" s="409"/>
      <c r="Q111" s="409"/>
    </row>
    <row r="112" ht="15.75" customHeight="1">
      <c r="G112" s="409"/>
      <c r="H112" s="409"/>
      <c r="I112" s="409"/>
      <c r="L112" s="409"/>
      <c r="M112" s="409"/>
      <c r="N112" s="409"/>
      <c r="Q112" s="409"/>
    </row>
    <row r="113" ht="15.75" customHeight="1">
      <c r="G113" s="409"/>
      <c r="H113" s="409"/>
      <c r="I113" s="409"/>
      <c r="L113" s="409"/>
      <c r="M113" s="409"/>
      <c r="N113" s="409"/>
      <c r="Q113" s="409"/>
    </row>
    <row r="114" ht="15.75" customHeight="1">
      <c r="G114" s="409"/>
      <c r="H114" s="409"/>
      <c r="I114" s="409"/>
      <c r="L114" s="409"/>
      <c r="M114" s="409"/>
      <c r="N114" s="409"/>
      <c r="Q114" s="409"/>
    </row>
    <row r="115" ht="15.75" customHeight="1">
      <c r="G115" s="409"/>
      <c r="H115" s="409"/>
      <c r="I115" s="409"/>
      <c r="L115" s="409"/>
      <c r="M115" s="409"/>
      <c r="N115" s="409"/>
      <c r="Q115" s="409"/>
    </row>
    <row r="116" ht="15.75" customHeight="1">
      <c r="G116" s="409"/>
      <c r="H116" s="409"/>
      <c r="I116" s="409"/>
      <c r="L116" s="409"/>
      <c r="M116" s="409"/>
      <c r="N116" s="409"/>
      <c r="Q116" s="409"/>
    </row>
    <row r="117" ht="15.75" customHeight="1">
      <c r="G117" s="409"/>
      <c r="H117" s="409"/>
      <c r="I117" s="409"/>
      <c r="L117" s="409"/>
      <c r="M117" s="409"/>
      <c r="N117" s="409"/>
      <c r="Q117" s="409"/>
    </row>
    <row r="118" ht="15.75" customHeight="1">
      <c r="G118" s="409"/>
      <c r="H118" s="409"/>
      <c r="I118" s="409"/>
      <c r="L118" s="409"/>
      <c r="M118" s="409"/>
      <c r="N118" s="409"/>
      <c r="Q118" s="409"/>
    </row>
    <row r="119" ht="15.75" customHeight="1">
      <c r="G119" s="409"/>
      <c r="H119" s="409"/>
      <c r="I119" s="409"/>
      <c r="L119" s="409"/>
      <c r="M119" s="409"/>
      <c r="N119" s="409"/>
      <c r="Q119" s="409"/>
    </row>
    <row r="120" ht="15.75" customHeight="1">
      <c r="G120" s="409"/>
      <c r="H120" s="409"/>
      <c r="I120" s="409"/>
      <c r="L120" s="409"/>
      <c r="M120" s="409"/>
      <c r="N120" s="409"/>
      <c r="Q120" s="409"/>
    </row>
    <row r="121" ht="15.75" customHeight="1">
      <c r="G121" s="409"/>
      <c r="H121" s="409"/>
      <c r="I121" s="409"/>
      <c r="L121" s="409"/>
      <c r="M121" s="409"/>
      <c r="N121" s="409"/>
      <c r="Q121" s="409"/>
    </row>
    <row r="122" ht="15.75" customHeight="1">
      <c r="G122" s="409"/>
      <c r="H122" s="409"/>
      <c r="I122" s="409"/>
      <c r="L122" s="409"/>
      <c r="M122" s="409"/>
      <c r="N122" s="409"/>
      <c r="Q122" s="409"/>
    </row>
    <row r="123" ht="15.75" customHeight="1">
      <c r="G123" s="409"/>
      <c r="H123" s="409"/>
      <c r="I123" s="409"/>
      <c r="L123" s="409"/>
      <c r="M123" s="409"/>
      <c r="N123" s="409"/>
      <c r="Q123" s="409"/>
    </row>
    <row r="124" ht="15.75" customHeight="1">
      <c r="G124" s="409"/>
      <c r="H124" s="409"/>
      <c r="I124" s="409"/>
      <c r="L124" s="409"/>
      <c r="M124" s="409"/>
      <c r="N124" s="409"/>
      <c r="Q124" s="409"/>
    </row>
    <row r="125" ht="15.75" customHeight="1">
      <c r="G125" s="409"/>
      <c r="H125" s="409"/>
      <c r="I125" s="409"/>
      <c r="L125" s="409"/>
      <c r="M125" s="409"/>
      <c r="N125" s="409"/>
      <c r="Q125" s="409"/>
    </row>
    <row r="126" ht="15.75" customHeight="1">
      <c r="G126" s="409"/>
      <c r="H126" s="409"/>
      <c r="I126" s="409"/>
      <c r="L126" s="409"/>
      <c r="M126" s="409"/>
      <c r="N126" s="409"/>
      <c r="Q126" s="409"/>
    </row>
    <row r="127" ht="15.75" customHeight="1">
      <c r="G127" s="409"/>
      <c r="H127" s="409"/>
      <c r="I127" s="409"/>
      <c r="L127" s="409"/>
      <c r="M127" s="409"/>
      <c r="N127" s="409"/>
      <c r="Q127" s="409"/>
    </row>
    <row r="128" ht="15.75" customHeight="1">
      <c r="G128" s="409"/>
      <c r="H128" s="409"/>
      <c r="I128" s="409"/>
      <c r="L128" s="409"/>
      <c r="M128" s="409"/>
      <c r="N128" s="409"/>
      <c r="Q128" s="409"/>
    </row>
    <row r="129" ht="15.75" customHeight="1">
      <c r="G129" s="409"/>
      <c r="H129" s="409"/>
      <c r="I129" s="409"/>
      <c r="L129" s="409"/>
      <c r="M129" s="409"/>
      <c r="N129" s="409"/>
      <c r="Q129" s="409"/>
    </row>
    <row r="130" ht="15.75" customHeight="1">
      <c r="G130" s="409"/>
      <c r="H130" s="409"/>
      <c r="I130" s="409"/>
      <c r="L130" s="409"/>
      <c r="M130" s="409"/>
      <c r="N130" s="409"/>
      <c r="Q130" s="409"/>
    </row>
    <row r="131" ht="15.75" customHeight="1">
      <c r="G131" s="409"/>
      <c r="H131" s="409"/>
      <c r="I131" s="409"/>
      <c r="L131" s="409"/>
      <c r="M131" s="409"/>
      <c r="N131" s="409"/>
      <c r="Q131" s="409"/>
    </row>
    <row r="132" ht="15.75" customHeight="1">
      <c r="G132" s="409"/>
      <c r="H132" s="409"/>
      <c r="I132" s="409"/>
      <c r="L132" s="409"/>
      <c r="M132" s="409"/>
      <c r="N132" s="409"/>
      <c r="Q132" s="409"/>
    </row>
    <row r="133" ht="15.75" customHeight="1">
      <c r="G133" s="409"/>
      <c r="H133" s="409"/>
      <c r="I133" s="409"/>
      <c r="L133" s="409"/>
      <c r="M133" s="409"/>
      <c r="N133" s="409"/>
      <c r="Q133" s="409"/>
    </row>
    <row r="134" ht="15.75" customHeight="1">
      <c r="G134" s="409"/>
      <c r="H134" s="409"/>
      <c r="I134" s="409"/>
      <c r="L134" s="409"/>
      <c r="M134" s="409"/>
      <c r="N134" s="409"/>
      <c r="Q134" s="409"/>
    </row>
    <row r="135" ht="15.75" customHeight="1">
      <c r="G135" s="409"/>
      <c r="H135" s="409"/>
      <c r="I135" s="409"/>
      <c r="L135" s="409"/>
      <c r="M135" s="409"/>
      <c r="N135" s="409"/>
      <c r="Q135" s="409"/>
    </row>
    <row r="136" ht="15.75" customHeight="1">
      <c r="G136" s="409"/>
      <c r="H136" s="409"/>
      <c r="I136" s="409"/>
      <c r="L136" s="409"/>
      <c r="M136" s="409"/>
      <c r="N136" s="409"/>
      <c r="Q136" s="409"/>
    </row>
    <row r="137" ht="15.75" customHeight="1">
      <c r="G137" s="409"/>
      <c r="H137" s="409"/>
      <c r="I137" s="409"/>
      <c r="L137" s="409"/>
      <c r="M137" s="409"/>
      <c r="N137" s="409"/>
      <c r="Q137" s="409"/>
    </row>
    <row r="138" ht="15.75" customHeight="1">
      <c r="G138" s="409"/>
      <c r="H138" s="409"/>
      <c r="I138" s="409"/>
      <c r="L138" s="409"/>
      <c r="M138" s="409"/>
      <c r="N138" s="409"/>
      <c r="Q138" s="409"/>
    </row>
    <row r="139" ht="15.75" customHeight="1">
      <c r="G139" s="409"/>
      <c r="H139" s="409"/>
      <c r="I139" s="409"/>
      <c r="L139" s="409"/>
      <c r="M139" s="409"/>
      <c r="N139" s="409"/>
      <c r="Q139" s="409"/>
    </row>
    <row r="140" ht="15.75" customHeight="1">
      <c r="G140" s="409"/>
      <c r="H140" s="409"/>
      <c r="I140" s="409"/>
      <c r="L140" s="409"/>
      <c r="M140" s="409"/>
      <c r="N140" s="409"/>
      <c r="Q140" s="409"/>
    </row>
    <row r="141" ht="15.75" customHeight="1">
      <c r="G141" s="409"/>
      <c r="H141" s="409"/>
      <c r="I141" s="409"/>
      <c r="L141" s="409"/>
      <c r="M141" s="409"/>
      <c r="N141" s="409"/>
      <c r="Q141" s="409"/>
    </row>
    <row r="142" ht="15.75" customHeight="1">
      <c r="G142" s="409"/>
      <c r="H142" s="409"/>
      <c r="I142" s="409"/>
      <c r="L142" s="409"/>
      <c r="M142" s="409"/>
      <c r="N142" s="409"/>
      <c r="Q142" s="409"/>
    </row>
    <row r="143" ht="15.75" customHeight="1">
      <c r="G143" s="409"/>
      <c r="H143" s="409"/>
      <c r="I143" s="409"/>
      <c r="L143" s="409"/>
      <c r="M143" s="409"/>
      <c r="N143" s="409"/>
      <c r="Q143" s="409"/>
    </row>
    <row r="144" ht="15.75" customHeight="1">
      <c r="G144" s="409"/>
      <c r="H144" s="409"/>
      <c r="I144" s="409"/>
      <c r="L144" s="409"/>
      <c r="M144" s="409"/>
      <c r="N144" s="409"/>
      <c r="Q144" s="409"/>
    </row>
    <row r="145" ht="15.75" customHeight="1">
      <c r="G145" s="409"/>
      <c r="H145" s="409"/>
      <c r="I145" s="409"/>
      <c r="L145" s="409"/>
      <c r="M145" s="409"/>
      <c r="N145" s="409"/>
      <c r="Q145" s="409"/>
    </row>
    <row r="146" ht="15.75" customHeight="1">
      <c r="G146" s="409"/>
      <c r="H146" s="409"/>
      <c r="I146" s="409"/>
      <c r="L146" s="409"/>
      <c r="M146" s="409"/>
      <c r="N146" s="409"/>
      <c r="Q146" s="409"/>
    </row>
    <row r="147" ht="15.75" customHeight="1">
      <c r="G147" s="409"/>
      <c r="H147" s="409"/>
      <c r="I147" s="409"/>
      <c r="L147" s="409"/>
      <c r="M147" s="409"/>
      <c r="N147" s="409"/>
      <c r="Q147" s="409"/>
    </row>
    <row r="148" ht="15.75" customHeight="1">
      <c r="G148" s="409"/>
      <c r="H148" s="409"/>
      <c r="I148" s="409"/>
      <c r="L148" s="409"/>
      <c r="M148" s="409"/>
      <c r="N148" s="409"/>
      <c r="Q148" s="409"/>
    </row>
    <row r="149" ht="15.75" customHeight="1">
      <c r="G149" s="409"/>
      <c r="H149" s="409"/>
      <c r="I149" s="409"/>
      <c r="L149" s="409"/>
      <c r="M149" s="409"/>
      <c r="N149" s="409"/>
      <c r="Q149" s="409"/>
    </row>
    <row r="150" ht="15.75" customHeight="1">
      <c r="G150" s="409"/>
      <c r="H150" s="409"/>
      <c r="I150" s="409"/>
      <c r="L150" s="409"/>
      <c r="M150" s="409"/>
      <c r="N150" s="409"/>
      <c r="Q150" s="409"/>
    </row>
    <row r="151" ht="15.75" customHeight="1">
      <c r="G151" s="409"/>
      <c r="H151" s="409"/>
      <c r="I151" s="409"/>
      <c r="L151" s="409"/>
      <c r="M151" s="409"/>
      <c r="N151" s="409"/>
      <c r="Q151" s="409"/>
    </row>
    <row r="152" ht="15.75" customHeight="1">
      <c r="G152" s="409"/>
      <c r="H152" s="409"/>
      <c r="I152" s="409"/>
      <c r="L152" s="409"/>
      <c r="M152" s="409"/>
      <c r="N152" s="409"/>
      <c r="Q152" s="409"/>
    </row>
    <row r="153" ht="15.75" customHeight="1">
      <c r="G153" s="409"/>
      <c r="H153" s="409"/>
      <c r="I153" s="409"/>
      <c r="L153" s="409"/>
      <c r="M153" s="409"/>
      <c r="N153" s="409"/>
      <c r="Q153" s="409"/>
    </row>
    <row r="154" ht="15.75" customHeight="1">
      <c r="G154" s="409"/>
      <c r="H154" s="409"/>
      <c r="I154" s="409"/>
      <c r="L154" s="409"/>
      <c r="M154" s="409"/>
      <c r="N154" s="409"/>
      <c r="Q154" s="409"/>
    </row>
    <row r="155" ht="15.75" customHeight="1">
      <c r="G155" s="409"/>
      <c r="H155" s="409"/>
      <c r="I155" s="409"/>
      <c r="L155" s="409"/>
      <c r="M155" s="409"/>
      <c r="N155" s="409"/>
      <c r="Q155" s="409"/>
    </row>
    <row r="156" ht="15.75" customHeight="1">
      <c r="G156" s="409"/>
      <c r="H156" s="409"/>
      <c r="I156" s="409"/>
      <c r="L156" s="409"/>
      <c r="M156" s="409"/>
      <c r="N156" s="409"/>
      <c r="Q156" s="409"/>
    </row>
    <row r="157" ht="15.75" customHeight="1">
      <c r="G157" s="409"/>
      <c r="H157" s="409"/>
      <c r="I157" s="409"/>
      <c r="L157" s="409"/>
      <c r="M157" s="409"/>
      <c r="N157" s="409"/>
      <c r="Q157" s="409"/>
    </row>
    <row r="158" ht="15.75" customHeight="1">
      <c r="G158" s="409"/>
      <c r="H158" s="409"/>
      <c r="I158" s="409"/>
      <c r="L158" s="409"/>
      <c r="M158" s="409"/>
      <c r="N158" s="409"/>
      <c r="Q158" s="409"/>
    </row>
    <row r="159" ht="15.75" customHeight="1">
      <c r="G159" s="409"/>
      <c r="H159" s="409"/>
      <c r="I159" s="409"/>
      <c r="L159" s="409"/>
      <c r="M159" s="409"/>
      <c r="N159" s="409"/>
      <c r="Q159" s="409"/>
    </row>
    <row r="160" ht="15.75" customHeight="1">
      <c r="G160" s="409"/>
      <c r="H160" s="409"/>
      <c r="I160" s="409"/>
      <c r="L160" s="409"/>
      <c r="M160" s="409"/>
      <c r="N160" s="409"/>
      <c r="Q160" s="409"/>
    </row>
    <row r="161" ht="15.75" customHeight="1">
      <c r="G161" s="409"/>
      <c r="H161" s="409"/>
      <c r="I161" s="409"/>
      <c r="L161" s="409"/>
      <c r="M161" s="409"/>
      <c r="N161" s="409"/>
      <c r="Q161" s="409"/>
    </row>
    <row r="162" ht="15.75" customHeight="1">
      <c r="G162" s="409"/>
      <c r="H162" s="409"/>
      <c r="I162" s="409"/>
      <c r="L162" s="409"/>
      <c r="M162" s="409"/>
      <c r="N162" s="409"/>
      <c r="Q162" s="409"/>
    </row>
    <row r="163" ht="15.75" customHeight="1">
      <c r="G163" s="409"/>
      <c r="H163" s="409"/>
      <c r="I163" s="409"/>
      <c r="L163" s="409"/>
      <c r="M163" s="409"/>
      <c r="N163" s="409"/>
      <c r="Q163" s="409"/>
    </row>
    <row r="164" ht="15.75" customHeight="1">
      <c r="G164" s="409"/>
      <c r="H164" s="409"/>
      <c r="I164" s="409"/>
      <c r="L164" s="409"/>
      <c r="M164" s="409"/>
      <c r="N164" s="409"/>
      <c r="Q164" s="409"/>
    </row>
    <row r="165" ht="15.75" customHeight="1">
      <c r="G165" s="409"/>
      <c r="H165" s="409"/>
      <c r="I165" s="409"/>
      <c r="L165" s="409"/>
      <c r="M165" s="409"/>
      <c r="N165" s="409"/>
      <c r="Q165" s="311"/>
    </row>
    <row r="166" ht="15.75" customHeight="1">
      <c r="G166" s="409"/>
      <c r="H166" s="409"/>
      <c r="I166" s="409"/>
      <c r="L166" s="409"/>
      <c r="M166" s="409"/>
      <c r="N166" s="409"/>
      <c r="Q166" s="311"/>
    </row>
    <row r="167" ht="15.75" customHeight="1">
      <c r="G167" s="409"/>
      <c r="H167" s="409"/>
      <c r="I167" s="409"/>
      <c r="L167" s="409"/>
      <c r="M167" s="409"/>
      <c r="N167" s="409"/>
      <c r="Q167" s="311"/>
    </row>
    <row r="168" ht="15.75" customHeight="1">
      <c r="G168" s="409"/>
      <c r="H168" s="409"/>
      <c r="I168" s="409"/>
      <c r="L168" s="409"/>
      <c r="M168" s="409"/>
      <c r="N168" s="409"/>
      <c r="Q168" s="311"/>
    </row>
    <row r="169" ht="15.75" customHeight="1">
      <c r="G169" s="409"/>
      <c r="H169" s="409"/>
      <c r="I169" s="409"/>
      <c r="L169" s="409"/>
      <c r="M169" s="409"/>
      <c r="N169" s="409"/>
      <c r="Q169" s="311"/>
    </row>
    <row r="170" ht="15.75" customHeight="1">
      <c r="G170" s="409"/>
      <c r="H170" s="409"/>
      <c r="I170" s="409"/>
      <c r="L170" s="409"/>
      <c r="M170" s="409"/>
      <c r="N170" s="409"/>
      <c r="Q170" s="311"/>
    </row>
    <row r="171" ht="15.75" customHeight="1">
      <c r="G171" s="409"/>
      <c r="H171" s="409"/>
      <c r="I171" s="409"/>
      <c r="L171" s="409"/>
      <c r="M171" s="409"/>
      <c r="N171" s="409"/>
      <c r="Q171" s="311"/>
    </row>
    <row r="172" ht="15.75" customHeight="1">
      <c r="G172" s="409"/>
      <c r="H172" s="409"/>
      <c r="I172" s="409"/>
      <c r="L172" s="409"/>
      <c r="M172" s="409"/>
      <c r="N172" s="409"/>
      <c r="Q172" s="311"/>
    </row>
    <row r="173" ht="15.75" customHeight="1">
      <c r="G173" s="409"/>
      <c r="H173" s="409"/>
      <c r="I173" s="409"/>
      <c r="L173" s="409"/>
      <c r="M173" s="409"/>
      <c r="N173" s="409"/>
      <c r="Q173" s="311"/>
    </row>
    <row r="174" ht="15.75" customHeight="1">
      <c r="G174" s="409"/>
      <c r="H174" s="409"/>
      <c r="I174" s="409"/>
      <c r="L174" s="409"/>
      <c r="M174" s="409"/>
      <c r="N174" s="409"/>
      <c r="Q174" s="311"/>
    </row>
    <row r="175" ht="15.75" customHeight="1">
      <c r="G175" s="409"/>
      <c r="H175" s="409"/>
      <c r="I175" s="409"/>
      <c r="L175" s="409"/>
      <c r="M175" s="409"/>
      <c r="N175" s="409"/>
      <c r="Q175" s="311"/>
    </row>
    <row r="176" ht="15.75" customHeight="1">
      <c r="G176" s="409"/>
      <c r="H176" s="409"/>
      <c r="I176" s="409"/>
      <c r="L176" s="409"/>
      <c r="M176" s="409"/>
      <c r="N176" s="409"/>
      <c r="Q176" s="311"/>
    </row>
    <row r="177" ht="15.75" customHeight="1">
      <c r="G177" s="409"/>
      <c r="H177" s="409"/>
      <c r="I177" s="409"/>
      <c r="L177" s="409"/>
      <c r="M177" s="409"/>
      <c r="N177" s="409"/>
      <c r="Q177" s="311"/>
    </row>
    <row r="178" ht="15.75" customHeight="1">
      <c r="G178" s="409"/>
      <c r="H178" s="409"/>
      <c r="I178" s="409"/>
      <c r="L178" s="409"/>
      <c r="M178" s="409"/>
      <c r="N178" s="409"/>
      <c r="Q178" s="311"/>
    </row>
    <row r="179" ht="15.75" customHeight="1">
      <c r="G179" s="311"/>
      <c r="H179" s="311"/>
      <c r="I179" s="311"/>
      <c r="L179" s="311"/>
      <c r="M179" s="311"/>
      <c r="N179" s="311"/>
      <c r="Q179" s="311"/>
    </row>
    <row r="180" ht="15.75" customHeight="1">
      <c r="G180" s="311"/>
      <c r="H180" s="311"/>
      <c r="I180" s="311"/>
      <c r="L180" s="311"/>
      <c r="M180" s="311"/>
      <c r="N180" s="311"/>
      <c r="Q180" s="311"/>
    </row>
    <row r="181" ht="15.75" customHeight="1">
      <c r="G181" s="311"/>
      <c r="H181" s="311"/>
      <c r="I181" s="311"/>
      <c r="L181" s="311"/>
      <c r="M181" s="311"/>
      <c r="N181" s="311"/>
      <c r="Q181" s="311"/>
    </row>
    <row r="182" ht="15.75" customHeight="1">
      <c r="G182" s="311"/>
      <c r="H182" s="311"/>
      <c r="I182" s="311"/>
      <c r="L182" s="311"/>
      <c r="M182" s="311"/>
      <c r="N182" s="311"/>
      <c r="Q182" s="311"/>
    </row>
    <row r="183" ht="15.75" customHeight="1">
      <c r="G183" s="311"/>
      <c r="H183" s="311"/>
      <c r="I183" s="311"/>
      <c r="L183" s="311"/>
      <c r="M183" s="311"/>
      <c r="N183" s="311"/>
      <c r="Q183" s="311"/>
    </row>
    <row r="184" ht="15.75" customHeight="1">
      <c r="G184" s="311"/>
      <c r="H184" s="311"/>
      <c r="I184" s="311"/>
      <c r="L184" s="311"/>
      <c r="M184" s="311"/>
      <c r="N184" s="311"/>
      <c r="Q184" s="311"/>
    </row>
    <row r="185" ht="15.75" customHeight="1">
      <c r="G185" s="311"/>
      <c r="H185" s="311"/>
      <c r="I185" s="311"/>
      <c r="L185" s="311"/>
      <c r="M185" s="311"/>
      <c r="N185" s="311"/>
      <c r="Q185" s="311"/>
    </row>
    <row r="186" ht="15.75" customHeight="1">
      <c r="G186" s="311"/>
      <c r="H186" s="311"/>
      <c r="I186" s="311"/>
      <c r="L186" s="311"/>
      <c r="M186" s="311"/>
      <c r="N186" s="311"/>
      <c r="Q186" s="311"/>
    </row>
    <row r="187" ht="15.75" customHeight="1">
      <c r="G187" s="311"/>
      <c r="H187" s="311"/>
      <c r="I187" s="311"/>
      <c r="L187" s="311"/>
      <c r="M187" s="311"/>
      <c r="N187" s="311"/>
      <c r="Q187" s="311"/>
    </row>
    <row r="188" ht="15.75" customHeight="1">
      <c r="G188" s="311"/>
      <c r="H188" s="311"/>
      <c r="I188" s="311"/>
      <c r="L188" s="311"/>
      <c r="M188" s="311"/>
      <c r="N188" s="311"/>
      <c r="Q188" s="311"/>
    </row>
    <row r="189" ht="15.75" customHeight="1">
      <c r="G189" s="311"/>
      <c r="H189" s="311"/>
      <c r="I189" s="311"/>
      <c r="L189" s="311"/>
      <c r="M189" s="311"/>
      <c r="N189" s="311"/>
      <c r="Q189" s="311"/>
    </row>
    <row r="190" ht="15.75" customHeight="1">
      <c r="G190" s="311"/>
      <c r="H190" s="311"/>
      <c r="I190" s="311"/>
      <c r="L190" s="311"/>
      <c r="M190" s="311"/>
      <c r="N190" s="311"/>
      <c r="Q190" s="311"/>
    </row>
    <row r="191" ht="15.75" customHeight="1">
      <c r="G191" s="311"/>
      <c r="H191" s="311"/>
      <c r="I191" s="311"/>
      <c r="L191" s="311"/>
      <c r="M191" s="311"/>
      <c r="N191" s="311"/>
      <c r="Q191" s="311"/>
    </row>
    <row r="192" ht="15.75" customHeight="1">
      <c r="G192" s="311"/>
      <c r="H192" s="311"/>
      <c r="I192" s="311"/>
      <c r="L192" s="311"/>
      <c r="M192" s="311"/>
      <c r="N192" s="311"/>
      <c r="Q192" s="311"/>
    </row>
    <row r="193" ht="15.75" customHeight="1">
      <c r="G193" s="311"/>
      <c r="H193" s="311"/>
      <c r="I193" s="311"/>
      <c r="L193" s="311"/>
      <c r="M193" s="311"/>
      <c r="N193" s="311"/>
      <c r="Q193" s="311"/>
    </row>
    <row r="194" ht="15.75" customHeight="1">
      <c r="G194" s="311"/>
      <c r="H194" s="311"/>
      <c r="I194" s="311"/>
      <c r="L194" s="311"/>
      <c r="M194" s="311"/>
      <c r="N194" s="311"/>
      <c r="Q194" s="311"/>
    </row>
    <row r="195" ht="15.75" customHeight="1">
      <c r="G195" s="311"/>
      <c r="H195" s="311"/>
      <c r="I195" s="311"/>
      <c r="L195" s="311"/>
      <c r="M195" s="311"/>
      <c r="N195" s="311"/>
      <c r="Q195" s="311"/>
    </row>
    <row r="196" ht="15.75" customHeight="1">
      <c r="G196" s="311"/>
      <c r="H196" s="311"/>
      <c r="I196" s="311"/>
      <c r="L196" s="311"/>
      <c r="M196" s="311"/>
      <c r="N196" s="311"/>
      <c r="Q196" s="311"/>
    </row>
    <row r="197" ht="15.75" customHeight="1">
      <c r="G197" s="311"/>
      <c r="H197" s="311"/>
      <c r="I197" s="311"/>
      <c r="L197" s="311"/>
      <c r="M197" s="311"/>
      <c r="N197" s="311"/>
      <c r="Q197" s="311"/>
    </row>
    <row r="198" ht="15.75" customHeight="1">
      <c r="G198" s="311"/>
      <c r="H198" s="311"/>
      <c r="I198" s="311"/>
      <c r="L198" s="311"/>
      <c r="M198" s="311"/>
      <c r="N198" s="311"/>
      <c r="Q198" s="311"/>
    </row>
    <row r="199" ht="15.75" customHeight="1">
      <c r="G199" s="311"/>
      <c r="H199" s="311"/>
      <c r="I199" s="311"/>
      <c r="L199" s="311"/>
      <c r="M199" s="311"/>
      <c r="N199" s="311"/>
      <c r="Q199" s="311"/>
    </row>
    <row r="200" ht="15.75" customHeight="1">
      <c r="G200" s="311"/>
      <c r="H200" s="311"/>
      <c r="I200" s="311"/>
      <c r="L200" s="311"/>
      <c r="M200" s="311"/>
      <c r="N200" s="311"/>
      <c r="Q200" s="311"/>
    </row>
    <row r="201" ht="15.75" customHeight="1">
      <c r="G201" s="311"/>
      <c r="H201" s="311"/>
      <c r="I201" s="311"/>
      <c r="L201" s="311"/>
      <c r="M201" s="311"/>
      <c r="N201" s="311"/>
      <c r="Q201" s="311"/>
    </row>
    <row r="202" ht="15.75" customHeight="1">
      <c r="G202" s="311"/>
      <c r="H202" s="311"/>
      <c r="I202" s="311"/>
      <c r="L202" s="311"/>
      <c r="M202" s="311"/>
      <c r="N202" s="311"/>
      <c r="Q202" s="311"/>
    </row>
    <row r="203" ht="15.75" customHeight="1">
      <c r="G203" s="311"/>
      <c r="H203" s="311"/>
      <c r="I203" s="311"/>
      <c r="L203" s="311"/>
      <c r="M203" s="311"/>
      <c r="N203" s="311"/>
      <c r="Q203" s="311"/>
    </row>
    <row r="204" ht="15.75" customHeight="1">
      <c r="G204" s="311"/>
      <c r="H204" s="311"/>
      <c r="I204" s="311"/>
      <c r="L204" s="311"/>
      <c r="M204" s="311"/>
      <c r="N204" s="311"/>
      <c r="Q204" s="311"/>
    </row>
    <row r="205" ht="15.75" customHeight="1">
      <c r="G205" s="311"/>
      <c r="H205" s="311"/>
      <c r="I205" s="311"/>
      <c r="L205" s="311"/>
      <c r="M205" s="311"/>
      <c r="N205" s="311"/>
      <c r="Q205" s="311"/>
    </row>
    <row r="206" ht="15.75" customHeight="1">
      <c r="G206" s="311"/>
      <c r="H206" s="311"/>
      <c r="I206" s="311"/>
      <c r="L206" s="311"/>
      <c r="M206" s="311"/>
      <c r="N206" s="311"/>
      <c r="Q206" s="311"/>
    </row>
    <row r="207" ht="15.75" customHeight="1">
      <c r="G207" s="311"/>
      <c r="H207" s="311"/>
      <c r="I207" s="311"/>
      <c r="L207" s="311"/>
      <c r="M207" s="311"/>
      <c r="N207" s="311"/>
      <c r="Q207" s="311"/>
    </row>
    <row r="208" ht="15.75" customHeight="1">
      <c r="G208" s="311"/>
      <c r="H208" s="311"/>
      <c r="I208" s="311"/>
      <c r="L208" s="311"/>
      <c r="M208" s="311"/>
      <c r="N208" s="311"/>
      <c r="Q208" s="311"/>
    </row>
    <row r="209" ht="15.75" customHeight="1">
      <c r="G209" s="311"/>
      <c r="H209" s="311"/>
      <c r="I209" s="311"/>
      <c r="L209" s="311"/>
      <c r="M209" s="311"/>
      <c r="N209" s="311"/>
      <c r="Q209" s="311"/>
    </row>
    <row r="210" ht="15.75" customHeight="1">
      <c r="G210" s="311"/>
      <c r="H210" s="311"/>
      <c r="I210" s="311"/>
      <c r="L210" s="311"/>
      <c r="M210" s="311"/>
      <c r="N210" s="311"/>
      <c r="Q210" s="311"/>
    </row>
    <row r="211" ht="15.75" customHeight="1">
      <c r="G211" s="311"/>
      <c r="H211" s="311"/>
      <c r="I211" s="311"/>
      <c r="L211" s="311"/>
      <c r="M211" s="311"/>
      <c r="N211" s="311"/>
      <c r="Q211" s="311"/>
    </row>
    <row r="212" ht="15.75" customHeight="1">
      <c r="G212" s="311"/>
      <c r="H212" s="311"/>
      <c r="I212" s="311"/>
      <c r="L212" s="311"/>
      <c r="M212" s="311"/>
      <c r="N212" s="311"/>
      <c r="Q212" s="311"/>
    </row>
    <row r="213" ht="15.75" customHeight="1">
      <c r="G213" s="311"/>
      <c r="H213" s="311"/>
      <c r="I213" s="311"/>
      <c r="L213" s="311"/>
      <c r="M213" s="311"/>
      <c r="N213" s="311"/>
      <c r="Q213" s="311"/>
    </row>
    <row r="214" ht="15.75" customHeight="1">
      <c r="G214" s="311"/>
      <c r="H214" s="311"/>
      <c r="I214" s="311"/>
      <c r="L214" s="311"/>
      <c r="M214" s="311"/>
      <c r="N214" s="311"/>
      <c r="Q214" s="311"/>
    </row>
    <row r="215" ht="15.75" customHeight="1">
      <c r="G215" s="311"/>
      <c r="H215" s="311"/>
      <c r="I215" s="311"/>
      <c r="L215" s="311"/>
      <c r="M215" s="311"/>
      <c r="N215" s="311"/>
      <c r="Q215" s="311"/>
    </row>
    <row r="216" ht="15.75" customHeight="1">
      <c r="G216" s="311"/>
      <c r="H216" s="311"/>
      <c r="I216" s="311"/>
      <c r="L216" s="311"/>
      <c r="M216" s="311"/>
      <c r="N216" s="311"/>
      <c r="Q216" s="311"/>
    </row>
    <row r="217" ht="15.75" customHeight="1">
      <c r="G217" s="311"/>
      <c r="H217" s="311"/>
      <c r="I217" s="311"/>
      <c r="L217" s="311"/>
      <c r="M217" s="311"/>
      <c r="N217" s="311"/>
      <c r="Q217" s="311"/>
    </row>
    <row r="218" ht="15.75" customHeight="1">
      <c r="G218" s="311"/>
      <c r="H218" s="311"/>
      <c r="I218" s="311"/>
      <c r="L218" s="311"/>
      <c r="M218" s="311"/>
      <c r="N218" s="311"/>
      <c r="Q218" s="311"/>
    </row>
    <row r="219" ht="15.75" customHeight="1">
      <c r="G219" s="311"/>
      <c r="H219" s="311"/>
      <c r="I219" s="311"/>
      <c r="L219" s="311"/>
      <c r="M219" s="311"/>
      <c r="N219" s="311"/>
      <c r="Q219" s="311"/>
    </row>
    <row r="220" ht="15.75" customHeight="1">
      <c r="G220" s="311"/>
      <c r="H220" s="311"/>
      <c r="I220" s="311"/>
      <c r="L220" s="311"/>
      <c r="M220" s="311"/>
      <c r="N220" s="311"/>
      <c r="Q220" s="311"/>
    </row>
    <row r="221" ht="15.75" customHeight="1">
      <c r="G221" s="311"/>
      <c r="H221" s="311"/>
      <c r="I221" s="311"/>
      <c r="L221" s="311"/>
      <c r="M221" s="311"/>
      <c r="N221" s="311"/>
      <c r="Q221" s="311"/>
    </row>
    <row r="222" ht="15.75" customHeight="1">
      <c r="G222" s="311"/>
      <c r="H222" s="311"/>
      <c r="I222" s="311"/>
      <c r="L222" s="311"/>
      <c r="M222" s="311"/>
      <c r="N222" s="311"/>
      <c r="Q222" s="311"/>
    </row>
    <row r="223" ht="15.75" customHeight="1">
      <c r="G223" s="311"/>
      <c r="H223" s="311"/>
      <c r="I223" s="311"/>
      <c r="L223" s="311"/>
      <c r="M223" s="311"/>
      <c r="N223" s="311"/>
      <c r="Q223" s="311"/>
    </row>
    <row r="224" ht="15.75" customHeight="1">
      <c r="G224" s="311"/>
      <c r="H224" s="311"/>
      <c r="I224" s="311"/>
      <c r="L224" s="311"/>
      <c r="M224" s="311"/>
      <c r="N224" s="311"/>
      <c r="Q224" s="311"/>
    </row>
    <row r="225" ht="15.75" customHeight="1">
      <c r="G225" s="311"/>
      <c r="H225" s="311"/>
      <c r="I225" s="311"/>
      <c r="L225" s="311"/>
      <c r="M225" s="311"/>
      <c r="N225" s="311"/>
      <c r="Q225" s="311"/>
    </row>
    <row r="226" ht="15.75" customHeight="1">
      <c r="G226" s="311"/>
      <c r="H226" s="311"/>
      <c r="I226" s="311"/>
      <c r="L226" s="311"/>
      <c r="M226" s="311"/>
      <c r="N226" s="311"/>
      <c r="Q226" s="311"/>
    </row>
    <row r="227" ht="15.75" customHeight="1">
      <c r="G227" s="311"/>
      <c r="H227" s="311"/>
      <c r="I227" s="311"/>
      <c r="L227" s="311"/>
      <c r="M227" s="311"/>
      <c r="N227" s="311"/>
      <c r="Q227" s="311"/>
    </row>
    <row r="228" ht="15.75" customHeight="1">
      <c r="G228" s="311"/>
      <c r="H228" s="311"/>
      <c r="I228" s="311"/>
      <c r="L228" s="311"/>
      <c r="M228" s="311"/>
      <c r="N228" s="311"/>
      <c r="Q228" s="311"/>
    </row>
    <row r="229" ht="15.75" customHeight="1">
      <c r="G229" s="311"/>
      <c r="H229" s="311"/>
      <c r="I229" s="311"/>
      <c r="L229" s="311"/>
      <c r="M229" s="311"/>
      <c r="N229" s="311"/>
      <c r="Q229" s="311"/>
    </row>
    <row r="230" ht="15.75" customHeight="1">
      <c r="G230" s="311"/>
      <c r="H230" s="311"/>
      <c r="I230" s="311"/>
      <c r="L230" s="311"/>
      <c r="M230" s="311"/>
      <c r="N230" s="311"/>
      <c r="Q230" s="311"/>
    </row>
    <row r="231" ht="15.75" customHeight="1">
      <c r="G231" s="311"/>
      <c r="H231" s="311"/>
      <c r="I231" s="311"/>
      <c r="L231" s="311"/>
      <c r="M231" s="311"/>
      <c r="N231" s="311"/>
      <c r="Q231" s="311"/>
    </row>
    <row r="232" ht="15.75" customHeight="1">
      <c r="G232" s="311"/>
      <c r="H232" s="311"/>
      <c r="I232" s="311"/>
      <c r="L232" s="311"/>
      <c r="M232" s="311"/>
      <c r="N232" s="311"/>
      <c r="Q232" s="311"/>
    </row>
    <row r="233" ht="15.75" customHeight="1">
      <c r="G233" s="311"/>
      <c r="H233" s="311"/>
      <c r="I233" s="311"/>
      <c r="L233" s="311"/>
      <c r="M233" s="311"/>
      <c r="N233" s="311"/>
      <c r="Q233" s="311"/>
    </row>
    <row r="234" ht="15.75" customHeight="1">
      <c r="G234" s="311"/>
      <c r="H234" s="311"/>
      <c r="I234" s="311"/>
      <c r="L234" s="311"/>
      <c r="M234" s="311"/>
      <c r="N234" s="311"/>
      <c r="Q234" s="311"/>
    </row>
    <row r="235" ht="15.75" customHeight="1">
      <c r="G235" s="311"/>
      <c r="H235" s="311"/>
      <c r="I235" s="311"/>
      <c r="L235" s="311"/>
      <c r="M235" s="311"/>
      <c r="N235" s="311"/>
      <c r="Q235" s="311"/>
    </row>
    <row r="236" ht="15.75" customHeight="1">
      <c r="G236" s="311"/>
      <c r="H236" s="311"/>
      <c r="I236" s="311"/>
      <c r="L236" s="311"/>
      <c r="M236" s="311"/>
      <c r="N236" s="311"/>
      <c r="Q236" s="311"/>
    </row>
    <row r="237" ht="15.75" customHeight="1">
      <c r="G237" s="311"/>
      <c r="H237" s="311"/>
      <c r="I237" s="311"/>
      <c r="L237" s="311"/>
      <c r="M237" s="311"/>
      <c r="N237" s="311"/>
      <c r="Q237" s="311"/>
    </row>
    <row r="238" ht="15.75" customHeight="1">
      <c r="G238" s="311"/>
      <c r="H238" s="311"/>
      <c r="I238" s="311"/>
      <c r="L238" s="311"/>
      <c r="M238" s="311"/>
      <c r="N238" s="311"/>
      <c r="Q238" s="311"/>
    </row>
    <row r="239" ht="15.75" customHeight="1">
      <c r="G239" s="311"/>
      <c r="H239" s="311"/>
      <c r="I239" s="311"/>
      <c r="L239" s="311"/>
      <c r="M239" s="311"/>
      <c r="N239" s="311"/>
      <c r="Q239" s="311"/>
    </row>
    <row r="240" ht="15.75" customHeight="1">
      <c r="G240" s="311"/>
      <c r="H240" s="311"/>
      <c r="I240" s="311"/>
      <c r="L240" s="311"/>
      <c r="M240" s="311"/>
      <c r="N240" s="311"/>
      <c r="Q240" s="311"/>
    </row>
    <row r="241" ht="15.75" customHeight="1">
      <c r="G241" s="311"/>
      <c r="H241" s="311"/>
      <c r="I241" s="311"/>
      <c r="L241" s="311"/>
      <c r="M241" s="311"/>
      <c r="N241" s="311"/>
      <c r="Q241" s="311"/>
    </row>
    <row r="242" ht="15.75" customHeight="1">
      <c r="G242" s="311"/>
      <c r="H242" s="311"/>
      <c r="I242" s="311"/>
      <c r="L242" s="311"/>
      <c r="M242" s="311"/>
      <c r="N242" s="311"/>
      <c r="Q242" s="311"/>
    </row>
    <row r="243" ht="15.75" customHeight="1">
      <c r="G243" s="311"/>
      <c r="H243" s="311"/>
      <c r="I243" s="311"/>
      <c r="L243" s="311"/>
      <c r="M243" s="311"/>
      <c r="N243" s="311"/>
      <c r="Q243" s="311"/>
    </row>
    <row r="244" ht="15.75" customHeight="1">
      <c r="G244" s="311"/>
      <c r="H244" s="311"/>
      <c r="I244" s="311"/>
      <c r="L244" s="311"/>
      <c r="M244" s="311"/>
      <c r="N244" s="311"/>
      <c r="Q244" s="311"/>
    </row>
    <row r="245" ht="15.75" customHeight="1">
      <c r="G245" s="311"/>
      <c r="H245" s="311"/>
      <c r="I245" s="311"/>
      <c r="L245" s="311"/>
      <c r="M245" s="311"/>
      <c r="N245" s="311"/>
      <c r="Q245" s="311"/>
    </row>
    <row r="246" ht="15.75" customHeight="1">
      <c r="G246" s="311"/>
      <c r="H246" s="311"/>
      <c r="I246" s="311"/>
      <c r="L246" s="311"/>
      <c r="M246" s="311"/>
      <c r="N246" s="311"/>
      <c r="Q246" s="311"/>
    </row>
    <row r="247" ht="15.75" customHeight="1">
      <c r="G247" s="311"/>
      <c r="H247" s="311"/>
      <c r="I247" s="311"/>
      <c r="L247" s="311"/>
      <c r="M247" s="311"/>
      <c r="N247" s="311"/>
      <c r="Q247" s="311"/>
    </row>
    <row r="248" ht="15.75" customHeight="1">
      <c r="G248" s="311"/>
      <c r="H248" s="311"/>
      <c r="I248" s="311"/>
      <c r="L248" s="311"/>
      <c r="M248" s="311"/>
      <c r="N248" s="311"/>
      <c r="Q248" s="311"/>
    </row>
    <row r="249" ht="15.75" customHeight="1">
      <c r="G249" s="311"/>
      <c r="H249" s="311"/>
      <c r="I249" s="311"/>
      <c r="L249" s="311"/>
      <c r="M249" s="311"/>
      <c r="N249" s="311"/>
      <c r="Q249" s="311"/>
    </row>
    <row r="250" ht="15.75" customHeight="1">
      <c r="G250" s="311"/>
      <c r="H250" s="311"/>
      <c r="I250" s="311"/>
      <c r="L250" s="311"/>
      <c r="M250" s="311"/>
      <c r="N250" s="311"/>
      <c r="Q250" s="311"/>
    </row>
    <row r="251" ht="15.75" customHeight="1">
      <c r="G251" s="311"/>
      <c r="H251" s="311"/>
      <c r="I251" s="311"/>
      <c r="L251" s="311"/>
      <c r="M251" s="311"/>
      <c r="N251" s="311"/>
      <c r="Q251" s="311"/>
    </row>
    <row r="252" ht="15.75" customHeight="1">
      <c r="G252" s="311"/>
      <c r="H252" s="311"/>
      <c r="I252" s="311"/>
      <c r="L252" s="311"/>
      <c r="M252" s="311"/>
      <c r="N252" s="311"/>
      <c r="Q252" s="311"/>
    </row>
    <row r="253" ht="15.75" customHeight="1">
      <c r="G253" s="311"/>
      <c r="H253" s="311"/>
      <c r="I253" s="311"/>
      <c r="L253" s="311"/>
      <c r="M253" s="311"/>
      <c r="N253" s="311"/>
      <c r="Q253" s="311"/>
    </row>
    <row r="254" ht="15.75" customHeight="1">
      <c r="G254" s="311"/>
      <c r="H254" s="311"/>
      <c r="I254" s="311"/>
      <c r="L254" s="311"/>
      <c r="M254" s="311"/>
      <c r="N254" s="311"/>
      <c r="Q254" s="311"/>
    </row>
    <row r="255" ht="15.75" customHeight="1">
      <c r="G255" s="311"/>
      <c r="H255" s="311"/>
      <c r="I255" s="311"/>
      <c r="L255" s="311"/>
      <c r="M255" s="311"/>
      <c r="N255" s="311"/>
      <c r="Q255" s="311"/>
    </row>
    <row r="256" ht="15.75" customHeight="1">
      <c r="G256" s="311"/>
      <c r="H256" s="311"/>
      <c r="I256" s="311"/>
      <c r="L256" s="311"/>
      <c r="M256" s="311"/>
      <c r="N256" s="311"/>
      <c r="Q256" s="311"/>
    </row>
    <row r="257" ht="15.75" customHeight="1">
      <c r="G257" s="311"/>
      <c r="H257" s="311"/>
      <c r="I257" s="311"/>
      <c r="L257" s="311"/>
      <c r="M257" s="311"/>
      <c r="N257" s="311"/>
      <c r="Q257" s="311"/>
    </row>
    <row r="258" ht="15.75" customHeight="1">
      <c r="G258" s="311"/>
      <c r="H258" s="311"/>
      <c r="I258" s="311"/>
      <c r="L258" s="311"/>
      <c r="M258" s="311"/>
      <c r="N258" s="311"/>
      <c r="Q258" s="311"/>
    </row>
    <row r="259" ht="15.75" customHeight="1">
      <c r="G259" s="311"/>
      <c r="H259" s="311"/>
      <c r="I259" s="311"/>
      <c r="L259" s="311"/>
      <c r="M259" s="311"/>
      <c r="N259" s="311"/>
      <c r="Q259" s="311"/>
    </row>
    <row r="260" ht="15.75" customHeight="1">
      <c r="G260" s="311"/>
      <c r="H260" s="311"/>
      <c r="I260" s="311"/>
      <c r="L260" s="311"/>
      <c r="M260" s="311"/>
      <c r="N260" s="311"/>
      <c r="Q260" s="311"/>
    </row>
    <row r="261" ht="15.75" customHeight="1">
      <c r="G261" s="311"/>
      <c r="H261" s="311"/>
      <c r="I261" s="311"/>
      <c r="L261" s="311"/>
      <c r="M261" s="311"/>
      <c r="N261" s="311"/>
      <c r="Q261" s="311"/>
    </row>
    <row r="262" ht="15.75" customHeight="1">
      <c r="G262" s="311"/>
      <c r="H262" s="311"/>
      <c r="I262" s="311"/>
      <c r="L262" s="311"/>
      <c r="M262" s="311"/>
      <c r="N262" s="311"/>
      <c r="Q262" s="311"/>
    </row>
    <row r="263" ht="15.75" customHeight="1">
      <c r="G263" s="311"/>
      <c r="H263" s="311"/>
      <c r="I263" s="311"/>
      <c r="L263" s="311"/>
      <c r="M263" s="311"/>
      <c r="N263" s="311"/>
      <c r="Q263" s="311"/>
    </row>
    <row r="264" ht="15.75" customHeight="1">
      <c r="G264" s="311"/>
      <c r="H264" s="311"/>
      <c r="I264" s="311"/>
      <c r="L264" s="311"/>
      <c r="M264" s="311"/>
      <c r="N264" s="311"/>
      <c r="Q264" s="311"/>
    </row>
    <row r="265" ht="15.75" customHeight="1">
      <c r="G265" s="311"/>
      <c r="H265" s="311"/>
      <c r="I265" s="311"/>
      <c r="L265" s="311"/>
      <c r="M265" s="311"/>
      <c r="N265" s="311"/>
      <c r="Q265" s="311"/>
    </row>
    <row r="266" ht="15.75" customHeight="1">
      <c r="G266" s="311"/>
      <c r="H266" s="311"/>
      <c r="I266" s="311"/>
      <c r="L266" s="311"/>
      <c r="M266" s="311"/>
      <c r="N266" s="311"/>
      <c r="Q266" s="311"/>
    </row>
    <row r="267" ht="15.75" customHeight="1">
      <c r="G267" s="311"/>
      <c r="H267" s="311"/>
      <c r="I267" s="311"/>
      <c r="L267" s="311"/>
      <c r="M267" s="311"/>
      <c r="N267" s="311"/>
      <c r="Q267" s="311"/>
    </row>
    <row r="268" ht="15.75" customHeight="1">
      <c r="G268" s="311"/>
      <c r="H268" s="311"/>
      <c r="I268" s="311"/>
      <c r="L268" s="311"/>
      <c r="M268" s="311"/>
      <c r="N268" s="311"/>
      <c r="Q268" s="311"/>
    </row>
    <row r="269" ht="15.75" customHeight="1">
      <c r="G269" s="311"/>
      <c r="H269" s="311"/>
      <c r="I269" s="311"/>
      <c r="L269" s="311"/>
      <c r="M269" s="311"/>
      <c r="N269" s="311"/>
      <c r="Q269" s="311"/>
    </row>
    <row r="270" ht="15.75" customHeight="1">
      <c r="G270" s="311"/>
      <c r="H270" s="311"/>
      <c r="I270" s="311"/>
      <c r="L270" s="311"/>
      <c r="M270" s="311"/>
      <c r="N270" s="311"/>
      <c r="Q270" s="311"/>
    </row>
    <row r="271" ht="15.75" customHeight="1">
      <c r="G271" s="311"/>
      <c r="H271" s="311"/>
      <c r="I271" s="311"/>
      <c r="L271" s="311"/>
      <c r="M271" s="311"/>
      <c r="N271" s="311"/>
      <c r="Q271" s="311"/>
    </row>
    <row r="272" ht="15.75" customHeight="1">
      <c r="G272" s="311"/>
      <c r="H272" s="311"/>
      <c r="I272" s="311"/>
      <c r="L272" s="311"/>
      <c r="M272" s="311"/>
      <c r="N272" s="311"/>
      <c r="Q272" s="311"/>
    </row>
    <row r="273" ht="15.75" customHeight="1">
      <c r="G273" s="311"/>
      <c r="H273" s="311"/>
      <c r="I273" s="311"/>
      <c r="L273" s="311"/>
      <c r="M273" s="311"/>
      <c r="N273" s="311"/>
      <c r="Q273" s="311"/>
    </row>
    <row r="274" ht="15.75" customHeight="1">
      <c r="G274" s="311"/>
      <c r="H274" s="311"/>
      <c r="I274" s="311"/>
      <c r="L274" s="311"/>
      <c r="M274" s="311"/>
      <c r="N274" s="311"/>
      <c r="Q274" s="311"/>
    </row>
    <row r="275" ht="15.75" customHeight="1">
      <c r="G275" s="311"/>
      <c r="H275" s="311"/>
      <c r="I275" s="311"/>
      <c r="L275" s="311"/>
      <c r="M275" s="311"/>
      <c r="N275" s="311"/>
      <c r="Q275" s="311"/>
    </row>
    <row r="276" ht="15.75" customHeight="1">
      <c r="G276" s="311"/>
      <c r="H276" s="311"/>
      <c r="I276" s="311"/>
      <c r="L276" s="311"/>
      <c r="M276" s="311"/>
      <c r="N276" s="311"/>
      <c r="Q276" s="311"/>
    </row>
    <row r="277" ht="15.75" customHeight="1">
      <c r="G277" s="311"/>
      <c r="H277" s="311"/>
      <c r="I277" s="311"/>
      <c r="L277" s="311"/>
      <c r="M277" s="311"/>
      <c r="N277" s="311"/>
      <c r="Q277" s="311"/>
    </row>
    <row r="278" ht="15.75" customHeight="1">
      <c r="G278" s="311"/>
      <c r="H278" s="311"/>
      <c r="I278" s="311"/>
      <c r="L278" s="311"/>
      <c r="M278" s="311"/>
      <c r="N278" s="311"/>
      <c r="Q278" s="311"/>
    </row>
    <row r="279" ht="15.75" customHeight="1">
      <c r="G279" s="311"/>
      <c r="H279" s="311"/>
      <c r="I279" s="311"/>
      <c r="L279" s="311"/>
      <c r="M279" s="311"/>
      <c r="N279" s="311"/>
      <c r="Q279" s="311"/>
    </row>
    <row r="280" ht="15.75" customHeight="1">
      <c r="G280" s="311"/>
      <c r="H280" s="311"/>
      <c r="I280" s="311"/>
      <c r="L280" s="311"/>
      <c r="M280" s="311"/>
      <c r="N280" s="311"/>
      <c r="Q280" s="311"/>
    </row>
    <row r="281" ht="15.75" customHeight="1">
      <c r="G281" s="311"/>
      <c r="H281" s="311"/>
      <c r="I281" s="311"/>
      <c r="L281" s="311"/>
      <c r="M281" s="311"/>
      <c r="N281" s="311"/>
      <c r="Q281" s="311"/>
    </row>
    <row r="282" ht="15.75" customHeight="1">
      <c r="G282" s="311"/>
      <c r="H282" s="311"/>
      <c r="I282" s="311"/>
      <c r="L282" s="311"/>
      <c r="M282" s="311"/>
      <c r="N282" s="311"/>
      <c r="Q282" s="311"/>
    </row>
    <row r="283" ht="15.75" customHeight="1">
      <c r="G283" s="311"/>
      <c r="H283" s="311"/>
      <c r="I283" s="311"/>
      <c r="L283" s="311"/>
      <c r="M283" s="311"/>
      <c r="N283" s="311"/>
      <c r="Q283" s="311"/>
    </row>
    <row r="284" ht="15.75" customHeight="1">
      <c r="G284" s="311"/>
      <c r="H284" s="311"/>
      <c r="I284" s="311"/>
      <c r="L284" s="311"/>
      <c r="M284" s="311"/>
      <c r="N284" s="311"/>
      <c r="Q284" s="311"/>
    </row>
    <row r="285" ht="15.75" customHeight="1">
      <c r="G285" s="311"/>
      <c r="H285" s="311"/>
      <c r="I285" s="311"/>
      <c r="L285" s="311"/>
      <c r="M285" s="311"/>
      <c r="N285" s="311"/>
      <c r="Q285" s="311"/>
    </row>
    <row r="286" ht="15.75" customHeight="1">
      <c r="G286" s="311"/>
      <c r="H286" s="311"/>
      <c r="I286" s="311"/>
      <c r="L286" s="311"/>
      <c r="M286" s="311"/>
      <c r="N286" s="311"/>
      <c r="Q286" s="311"/>
    </row>
    <row r="287" ht="15.75" customHeight="1">
      <c r="G287" s="311"/>
      <c r="H287" s="311"/>
      <c r="I287" s="311"/>
      <c r="L287" s="311"/>
      <c r="M287" s="311"/>
      <c r="N287" s="311"/>
      <c r="Q287" s="311"/>
    </row>
    <row r="288" ht="15.75" customHeight="1">
      <c r="G288" s="311"/>
      <c r="H288" s="311"/>
      <c r="I288" s="311"/>
      <c r="L288" s="311"/>
      <c r="M288" s="311"/>
      <c r="N288" s="311"/>
      <c r="Q288" s="311"/>
    </row>
    <row r="289" ht="15.75" customHeight="1">
      <c r="G289" s="311"/>
      <c r="H289" s="311"/>
      <c r="I289" s="311"/>
      <c r="L289" s="311"/>
      <c r="M289" s="311"/>
      <c r="N289" s="311"/>
      <c r="Q289" s="311"/>
    </row>
    <row r="290" ht="15.75" customHeight="1">
      <c r="G290" s="311"/>
      <c r="H290" s="311"/>
      <c r="I290" s="311"/>
      <c r="L290" s="311"/>
      <c r="M290" s="311"/>
      <c r="N290" s="311"/>
      <c r="Q290" s="311"/>
    </row>
    <row r="291" ht="15.75" customHeight="1">
      <c r="G291" s="311"/>
      <c r="H291" s="311"/>
      <c r="I291" s="311"/>
      <c r="L291" s="311"/>
      <c r="M291" s="311"/>
      <c r="N291" s="311"/>
      <c r="Q291" s="311"/>
    </row>
    <row r="292" ht="15.75" customHeight="1">
      <c r="G292" s="311"/>
      <c r="H292" s="311"/>
      <c r="I292" s="311"/>
      <c r="L292" s="311"/>
      <c r="M292" s="311"/>
      <c r="N292" s="311"/>
      <c r="Q292" s="311"/>
    </row>
    <row r="293" ht="15.75" customHeight="1">
      <c r="G293" s="311"/>
      <c r="H293" s="311"/>
      <c r="I293" s="311"/>
      <c r="L293" s="311"/>
      <c r="M293" s="311"/>
      <c r="N293" s="311"/>
      <c r="Q293" s="311"/>
    </row>
    <row r="294" ht="15.75" customHeight="1">
      <c r="G294" s="311"/>
      <c r="H294" s="311"/>
      <c r="I294" s="311"/>
      <c r="L294" s="311"/>
      <c r="M294" s="311"/>
      <c r="N294" s="311"/>
      <c r="Q294" s="311"/>
    </row>
    <row r="295" ht="15.75" customHeight="1">
      <c r="G295" s="311"/>
      <c r="H295" s="311"/>
      <c r="I295" s="311"/>
      <c r="L295" s="311"/>
      <c r="M295" s="311"/>
      <c r="N295" s="311"/>
      <c r="Q295" s="311"/>
    </row>
    <row r="296" ht="15.75" customHeight="1">
      <c r="G296" s="311"/>
      <c r="H296" s="311"/>
      <c r="I296" s="311"/>
      <c r="L296" s="311"/>
      <c r="M296" s="311"/>
      <c r="N296" s="311"/>
      <c r="Q296" s="311"/>
    </row>
    <row r="297" ht="15.75" customHeight="1">
      <c r="G297" s="311"/>
      <c r="H297" s="311"/>
      <c r="I297" s="311"/>
      <c r="L297" s="311"/>
      <c r="M297" s="311"/>
      <c r="N297" s="311"/>
      <c r="Q297" s="311"/>
    </row>
    <row r="298" ht="15.75" customHeight="1">
      <c r="G298" s="311"/>
      <c r="H298" s="311"/>
      <c r="I298" s="311"/>
      <c r="L298" s="311"/>
      <c r="M298" s="311"/>
      <c r="N298" s="311"/>
      <c r="Q298" s="311"/>
    </row>
    <row r="299" ht="15.75" customHeight="1">
      <c r="G299" s="311"/>
      <c r="H299" s="311"/>
      <c r="I299" s="311"/>
      <c r="L299" s="311"/>
      <c r="M299" s="311"/>
      <c r="N299" s="311"/>
      <c r="Q299" s="311"/>
    </row>
    <row r="300" ht="15.75" customHeight="1">
      <c r="G300" s="311"/>
      <c r="H300" s="311"/>
      <c r="I300" s="311"/>
      <c r="L300" s="311"/>
      <c r="M300" s="311"/>
      <c r="N300" s="311"/>
      <c r="Q300" s="311"/>
    </row>
    <row r="301" ht="15.75" customHeight="1">
      <c r="G301" s="311"/>
      <c r="H301" s="311"/>
      <c r="I301" s="311"/>
      <c r="L301" s="311"/>
      <c r="M301" s="311"/>
      <c r="N301" s="311"/>
      <c r="Q301" s="311"/>
    </row>
    <row r="302" ht="15.75" customHeight="1">
      <c r="G302" s="311"/>
      <c r="H302" s="311"/>
      <c r="I302" s="311"/>
      <c r="L302" s="311"/>
      <c r="M302" s="311"/>
      <c r="N302" s="311"/>
      <c r="Q302" s="311"/>
    </row>
    <row r="303" ht="15.75" customHeight="1">
      <c r="G303" s="311"/>
      <c r="H303" s="311"/>
      <c r="I303" s="311"/>
      <c r="L303" s="311"/>
      <c r="M303" s="311"/>
      <c r="N303" s="311"/>
      <c r="Q303" s="311"/>
    </row>
    <row r="304" ht="15.75" customHeight="1">
      <c r="G304" s="311"/>
      <c r="H304" s="311"/>
      <c r="I304" s="311"/>
      <c r="L304" s="311"/>
      <c r="M304" s="311"/>
      <c r="N304" s="311"/>
      <c r="Q304" s="311"/>
    </row>
    <row r="305" ht="15.75" customHeight="1">
      <c r="G305" s="311"/>
      <c r="H305" s="311"/>
      <c r="I305" s="311"/>
      <c r="L305" s="311"/>
      <c r="M305" s="311"/>
      <c r="N305" s="311"/>
      <c r="Q305" s="311"/>
    </row>
    <row r="306" ht="15.75" customHeight="1">
      <c r="G306" s="311"/>
      <c r="H306" s="311"/>
      <c r="I306" s="311"/>
      <c r="L306" s="311"/>
      <c r="M306" s="311"/>
      <c r="N306" s="311"/>
      <c r="Q306" s="311"/>
    </row>
    <row r="307" ht="15.75" customHeight="1">
      <c r="G307" s="311"/>
      <c r="H307" s="311"/>
      <c r="I307" s="311"/>
      <c r="L307" s="311"/>
      <c r="M307" s="311"/>
      <c r="N307" s="311"/>
      <c r="Q307" s="311"/>
    </row>
    <row r="308" ht="15.75" customHeight="1">
      <c r="G308" s="311"/>
      <c r="H308" s="311"/>
      <c r="I308" s="311"/>
      <c r="L308" s="311"/>
      <c r="M308" s="311"/>
      <c r="N308" s="311"/>
      <c r="Q308" s="311"/>
    </row>
    <row r="309" ht="15.75" customHeight="1">
      <c r="G309" s="311"/>
      <c r="H309" s="311"/>
      <c r="I309" s="311"/>
      <c r="L309" s="311"/>
      <c r="M309" s="311"/>
      <c r="N309" s="311"/>
      <c r="Q309" s="311"/>
    </row>
    <row r="310" ht="15.75" customHeight="1">
      <c r="G310" s="311"/>
      <c r="H310" s="311"/>
      <c r="I310" s="311"/>
      <c r="L310" s="311"/>
      <c r="M310" s="311"/>
      <c r="N310" s="311"/>
      <c r="Q310" s="311"/>
    </row>
    <row r="311" ht="15.75" customHeight="1">
      <c r="G311" s="311"/>
      <c r="H311" s="311"/>
      <c r="I311" s="311"/>
      <c r="L311" s="311"/>
      <c r="M311" s="311"/>
      <c r="N311" s="311"/>
      <c r="Q311" s="311"/>
    </row>
    <row r="312" ht="15.75" customHeight="1">
      <c r="G312" s="311"/>
      <c r="H312" s="311"/>
      <c r="I312" s="311"/>
      <c r="L312" s="311"/>
      <c r="M312" s="311"/>
      <c r="N312" s="311"/>
      <c r="Q312" s="311"/>
    </row>
    <row r="313" ht="15.75" customHeight="1">
      <c r="G313" s="311"/>
      <c r="H313" s="311"/>
      <c r="I313" s="311"/>
      <c r="L313" s="311"/>
      <c r="M313" s="311"/>
      <c r="N313" s="311"/>
      <c r="Q313" s="311"/>
    </row>
    <row r="314" ht="15.75" customHeight="1">
      <c r="G314" s="311"/>
      <c r="H314" s="311"/>
      <c r="I314" s="311"/>
      <c r="L314" s="311"/>
      <c r="M314" s="311"/>
      <c r="N314" s="311"/>
      <c r="Q314" s="311"/>
    </row>
    <row r="315" ht="15.75" customHeight="1">
      <c r="G315" s="311"/>
      <c r="H315" s="311"/>
      <c r="I315" s="311"/>
      <c r="L315" s="311"/>
      <c r="M315" s="311"/>
      <c r="N315" s="311"/>
      <c r="Q315" s="311"/>
    </row>
    <row r="316" ht="15.75" customHeight="1">
      <c r="G316" s="311"/>
      <c r="H316" s="311"/>
      <c r="I316" s="311"/>
      <c r="L316" s="311"/>
      <c r="M316" s="311"/>
      <c r="N316" s="311"/>
      <c r="Q316" s="311"/>
    </row>
    <row r="317" ht="15.75" customHeight="1">
      <c r="G317" s="311"/>
      <c r="H317" s="311"/>
      <c r="I317" s="311"/>
      <c r="L317" s="311"/>
      <c r="M317" s="311"/>
      <c r="N317" s="311"/>
      <c r="Q317" s="311"/>
    </row>
    <row r="318" ht="15.75" customHeight="1">
      <c r="G318" s="311"/>
      <c r="H318" s="311"/>
      <c r="I318" s="311"/>
      <c r="L318" s="311"/>
      <c r="M318" s="311"/>
      <c r="N318" s="311"/>
      <c r="Q318" s="311"/>
    </row>
    <row r="319" ht="15.75" customHeight="1">
      <c r="G319" s="311"/>
      <c r="H319" s="311"/>
      <c r="I319" s="311"/>
      <c r="L319" s="311"/>
      <c r="M319" s="311"/>
      <c r="N319" s="311"/>
      <c r="Q319" s="311"/>
    </row>
    <row r="320" ht="15.75" customHeight="1">
      <c r="G320" s="311"/>
      <c r="H320" s="311"/>
      <c r="I320" s="311"/>
      <c r="L320" s="311"/>
      <c r="M320" s="311"/>
      <c r="N320" s="311"/>
      <c r="Q320" s="311"/>
    </row>
    <row r="321" ht="15.75" customHeight="1">
      <c r="G321" s="311"/>
      <c r="H321" s="311"/>
      <c r="I321" s="311"/>
      <c r="L321" s="311"/>
      <c r="M321" s="311"/>
      <c r="N321" s="311"/>
      <c r="Q321" s="311"/>
    </row>
    <row r="322" ht="15.75" customHeight="1">
      <c r="G322" s="311"/>
      <c r="H322" s="311"/>
      <c r="I322" s="311"/>
      <c r="L322" s="311"/>
      <c r="M322" s="311"/>
      <c r="N322" s="311"/>
      <c r="Q322" s="311"/>
    </row>
    <row r="323" ht="15.75" customHeight="1">
      <c r="G323" s="311"/>
      <c r="H323" s="311"/>
      <c r="I323" s="311"/>
      <c r="L323" s="311"/>
      <c r="M323" s="311"/>
      <c r="N323" s="311"/>
      <c r="Q323" s="311"/>
    </row>
    <row r="324" ht="15.75" customHeight="1">
      <c r="G324" s="311"/>
      <c r="H324" s="311"/>
      <c r="I324" s="311"/>
      <c r="L324" s="311"/>
      <c r="M324" s="311"/>
      <c r="N324" s="311"/>
      <c r="Q324" s="311"/>
    </row>
    <row r="325" ht="15.75" customHeight="1">
      <c r="G325" s="311"/>
      <c r="H325" s="311"/>
      <c r="I325" s="311"/>
      <c r="L325" s="311"/>
      <c r="M325" s="311"/>
      <c r="N325" s="311"/>
      <c r="Q325" s="311"/>
    </row>
    <row r="326" ht="15.75" customHeight="1">
      <c r="G326" s="311"/>
      <c r="H326" s="311"/>
      <c r="I326" s="311"/>
      <c r="L326" s="311"/>
      <c r="M326" s="311"/>
      <c r="N326" s="311"/>
      <c r="Q326" s="311"/>
    </row>
    <row r="327" ht="15.75" customHeight="1">
      <c r="G327" s="311"/>
      <c r="H327" s="311"/>
      <c r="I327" s="311"/>
      <c r="L327" s="311"/>
      <c r="M327" s="311"/>
      <c r="N327" s="311"/>
      <c r="Q327" s="311"/>
    </row>
    <row r="328" ht="15.75" customHeight="1">
      <c r="G328" s="311"/>
      <c r="H328" s="311"/>
      <c r="I328" s="311"/>
      <c r="L328" s="311"/>
      <c r="M328" s="311"/>
      <c r="N328" s="311"/>
      <c r="Q328" s="311"/>
    </row>
    <row r="329" ht="15.75" customHeight="1">
      <c r="G329" s="311"/>
      <c r="H329" s="311"/>
      <c r="I329" s="311"/>
      <c r="L329" s="311"/>
      <c r="M329" s="311"/>
      <c r="N329" s="311"/>
      <c r="Q329" s="311"/>
    </row>
    <row r="330" ht="15.75" customHeight="1">
      <c r="G330" s="311"/>
      <c r="H330" s="311"/>
      <c r="I330" s="311"/>
      <c r="L330" s="311"/>
      <c r="M330" s="311"/>
      <c r="N330" s="311"/>
      <c r="Q330" s="311"/>
    </row>
    <row r="331" ht="15.75" customHeight="1">
      <c r="G331" s="311"/>
      <c r="H331" s="311"/>
      <c r="I331" s="311"/>
      <c r="L331" s="311"/>
      <c r="M331" s="311"/>
      <c r="N331" s="311"/>
      <c r="Q331" s="311"/>
    </row>
    <row r="332" ht="15.75" customHeight="1">
      <c r="G332" s="311"/>
      <c r="H332" s="311"/>
      <c r="I332" s="311"/>
      <c r="L332" s="311"/>
      <c r="M332" s="311"/>
      <c r="N332" s="311"/>
      <c r="Q332" s="311"/>
    </row>
    <row r="333" ht="15.75" customHeight="1">
      <c r="G333" s="311"/>
      <c r="H333" s="311"/>
      <c r="I333" s="311"/>
      <c r="L333" s="311"/>
      <c r="M333" s="311"/>
      <c r="N333" s="311"/>
      <c r="Q333" s="311"/>
    </row>
    <row r="334" ht="15.75" customHeight="1">
      <c r="G334" s="311"/>
      <c r="H334" s="311"/>
      <c r="I334" s="311"/>
      <c r="L334" s="311"/>
      <c r="M334" s="311"/>
      <c r="N334" s="311"/>
      <c r="Q334" s="311"/>
    </row>
    <row r="335" ht="15.75" customHeight="1">
      <c r="G335" s="311"/>
      <c r="H335" s="311"/>
      <c r="I335" s="311"/>
      <c r="L335" s="311"/>
      <c r="M335" s="311"/>
      <c r="N335" s="311"/>
      <c r="Q335" s="311"/>
    </row>
    <row r="336" ht="15.75" customHeight="1">
      <c r="G336" s="311"/>
      <c r="H336" s="311"/>
      <c r="I336" s="311"/>
      <c r="L336" s="311"/>
      <c r="M336" s="311"/>
      <c r="N336" s="311"/>
      <c r="Q336" s="311"/>
    </row>
    <row r="337" ht="15.75" customHeight="1">
      <c r="G337" s="311"/>
      <c r="H337" s="311"/>
      <c r="I337" s="311"/>
      <c r="L337" s="311"/>
      <c r="M337" s="311"/>
      <c r="N337" s="311"/>
      <c r="Q337" s="311"/>
    </row>
    <row r="338" ht="15.75" customHeight="1">
      <c r="G338" s="311"/>
      <c r="H338" s="311"/>
      <c r="I338" s="311"/>
      <c r="L338" s="311"/>
      <c r="M338" s="311"/>
      <c r="N338" s="311"/>
      <c r="Q338" s="311"/>
    </row>
    <row r="339" ht="15.75" customHeight="1">
      <c r="G339" s="311"/>
      <c r="H339" s="311"/>
      <c r="I339" s="311"/>
      <c r="L339" s="311"/>
      <c r="M339" s="311"/>
      <c r="N339" s="311"/>
      <c r="Q339" s="311"/>
    </row>
    <row r="340" ht="15.75" customHeight="1">
      <c r="G340" s="311"/>
      <c r="H340" s="311"/>
      <c r="I340" s="311"/>
      <c r="L340" s="311"/>
      <c r="M340" s="311"/>
      <c r="N340" s="311"/>
      <c r="Q340" s="311"/>
    </row>
    <row r="341" ht="15.75" customHeight="1">
      <c r="G341" s="311"/>
      <c r="H341" s="311"/>
      <c r="I341" s="311"/>
      <c r="L341" s="311"/>
      <c r="M341" s="311"/>
      <c r="N341" s="311"/>
      <c r="Q341" s="311"/>
    </row>
    <row r="342" ht="15.75" customHeight="1">
      <c r="G342" s="311"/>
      <c r="H342" s="311"/>
      <c r="I342" s="311"/>
      <c r="L342" s="311"/>
      <c r="M342" s="311"/>
      <c r="N342" s="311"/>
      <c r="Q342" s="311"/>
    </row>
    <row r="343" ht="15.75" customHeight="1">
      <c r="G343" s="311"/>
      <c r="H343" s="311"/>
      <c r="I343" s="311"/>
      <c r="L343" s="311"/>
      <c r="M343" s="311"/>
      <c r="N343" s="311"/>
      <c r="Q343" s="311"/>
    </row>
    <row r="344" ht="15.75" customHeight="1">
      <c r="G344" s="311"/>
      <c r="H344" s="311"/>
      <c r="I344" s="311"/>
      <c r="L344" s="311"/>
      <c r="M344" s="311"/>
      <c r="N344" s="311"/>
      <c r="Q344" s="311"/>
    </row>
    <row r="345" ht="15.75" customHeight="1">
      <c r="G345" s="311"/>
      <c r="H345" s="311"/>
      <c r="I345" s="311"/>
      <c r="L345" s="311"/>
      <c r="M345" s="311"/>
      <c r="N345" s="311"/>
      <c r="Q345" s="311"/>
    </row>
    <row r="346" ht="15.75" customHeight="1">
      <c r="G346" s="311"/>
      <c r="H346" s="311"/>
      <c r="I346" s="311"/>
      <c r="L346" s="311"/>
      <c r="M346" s="311"/>
      <c r="N346" s="311"/>
      <c r="Q346" s="311"/>
    </row>
    <row r="347" ht="15.75" customHeight="1">
      <c r="G347" s="311"/>
      <c r="H347" s="311"/>
      <c r="I347" s="311"/>
      <c r="L347" s="311"/>
      <c r="M347" s="311"/>
      <c r="N347" s="311"/>
      <c r="Q347" s="311"/>
    </row>
    <row r="348" ht="15.75" customHeight="1">
      <c r="G348" s="311"/>
      <c r="H348" s="311"/>
      <c r="I348" s="311"/>
      <c r="L348" s="311"/>
      <c r="M348" s="311"/>
      <c r="N348" s="311"/>
      <c r="Q348" s="311"/>
    </row>
    <row r="349" ht="15.75" customHeight="1">
      <c r="G349" s="311"/>
      <c r="H349" s="311"/>
      <c r="I349" s="311"/>
      <c r="L349" s="311"/>
      <c r="M349" s="311"/>
      <c r="N349" s="311"/>
      <c r="Q349" s="311"/>
    </row>
    <row r="350" ht="15.75" customHeight="1">
      <c r="G350" s="311"/>
      <c r="H350" s="311"/>
      <c r="I350" s="311"/>
      <c r="L350" s="311"/>
      <c r="M350" s="311"/>
      <c r="N350" s="311"/>
      <c r="Q350" s="311"/>
    </row>
    <row r="351" ht="15.75" customHeight="1">
      <c r="G351" s="311"/>
      <c r="H351" s="311"/>
      <c r="I351" s="311"/>
      <c r="L351" s="311"/>
      <c r="M351" s="311"/>
      <c r="N351" s="311"/>
      <c r="Q351" s="311"/>
    </row>
    <row r="352" ht="15.75" customHeight="1">
      <c r="G352" s="311"/>
      <c r="H352" s="311"/>
      <c r="I352" s="311"/>
      <c r="L352" s="311"/>
      <c r="M352" s="311"/>
      <c r="N352" s="311"/>
      <c r="Q352" s="311"/>
    </row>
    <row r="353" ht="15.75" customHeight="1">
      <c r="G353" s="311"/>
      <c r="H353" s="311"/>
      <c r="I353" s="311"/>
      <c r="L353" s="311"/>
      <c r="M353" s="311"/>
      <c r="N353" s="311"/>
      <c r="Q353" s="311"/>
    </row>
    <row r="354" ht="15.75" customHeight="1">
      <c r="G354" s="311"/>
      <c r="H354" s="311"/>
      <c r="I354" s="311"/>
      <c r="L354" s="311"/>
      <c r="M354" s="311"/>
      <c r="N354" s="311"/>
      <c r="Q354" s="311"/>
    </row>
    <row r="355" ht="15.75" customHeight="1">
      <c r="G355" s="311"/>
      <c r="H355" s="311"/>
      <c r="I355" s="311"/>
      <c r="L355" s="311"/>
      <c r="M355" s="311"/>
      <c r="N355" s="311"/>
      <c r="Q355" s="311"/>
    </row>
    <row r="356" ht="15.75" customHeight="1">
      <c r="G356" s="311"/>
      <c r="H356" s="311"/>
      <c r="I356" s="311"/>
      <c r="L356" s="311"/>
      <c r="M356" s="311"/>
      <c r="N356" s="311"/>
      <c r="Q356" s="311"/>
    </row>
    <row r="357" ht="15.75" customHeight="1">
      <c r="G357" s="311"/>
      <c r="H357" s="311"/>
      <c r="I357" s="311"/>
      <c r="L357" s="311"/>
      <c r="M357" s="311"/>
      <c r="N357" s="311"/>
      <c r="Q357" s="311"/>
    </row>
    <row r="358" ht="15.75" customHeight="1">
      <c r="G358" s="311"/>
      <c r="H358" s="311"/>
      <c r="I358" s="311"/>
      <c r="L358" s="311"/>
      <c r="M358" s="311"/>
      <c r="N358" s="311"/>
      <c r="Q358" s="311"/>
    </row>
    <row r="359" ht="15.75" customHeight="1">
      <c r="G359" s="311"/>
      <c r="H359" s="311"/>
      <c r="I359" s="311"/>
      <c r="L359" s="311"/>
      <c r="M359" s="311"/>
      <c r="N359" s="311"/>
      <c r="Q359" s="311"/>
    </row>
    <row r="360" ht="15.75" customHeight="1">
      <c r="G360" s="311"/>
      <c r="H360" s="311"/>
      <c r="I360" s="311"/>
      <c r="L360" s="311"/>
      <c r="M360" s="311"/>
      <c r="N360" s="311"/>
      <c r="Q360" s="311"/>
    </row>
    <row r="361" ht="15.75" customHeight="1">
      <c r="G361" s="311"/>
      <c r="H361" s="311"/>
      <c r="I361" s="311"/>
      <c r="L361" s="311"/>
      <c r="M361" s="311"/>
      <c r="N361" s="311"/>
      <c r="Q361" s="311"/>
    </row>
    <row r="362" ht="15.75" customHeight="1">
      <c r="G362" s="311"/>
      <c r="H362" s="311"/>
      <c r="I362" s="311"/>
      <c r="L362" s="311"/>
      <c r="M362" s="311"/>
      <c r="N362" s="311"/>
      <c r="Q362" s="311"/>
    </row>
    <row r="363" ht="15.75" customHeight="1">
      <c r="G363" s="311"/>
      <c r="H363" s="311"/>
      <c r="I363" s="311"/>
      <c r="L363" s="311"/>
      <c r="M363" s="311"/>
      <c r="N363" s="311"/>
      <c r="Q363" s="311"/>
    </row>
    <row r="364" ht="15.75" customHeight="1">
      <c r="G364" s="311"/>
      <c r="H364" s="311"/>
      <c r="I364" s="311"/>
      <c r="L364" s="311"/>
      <c r="M364" s="311"/>
      <c r="N364" s="311"/>
      <c r="Q364" s="311"/>
    </row>
    <row r="365" ht="15.75" customHeight="1">
      <c r="G365" s="311"/>
      <c r="H365" s="311"/>
      <c r="I365" s="311"/>
      <c r="L365" s="311"/>
      <c r="M365" s="311"/>
      <c r="N365" s="311"/>
      <c r="Q365" s="311"/>
    </row>
    <row r="366" ht="15.75" customHeight="1">
      <c r="G366" s="311"/>
      <c r="H366" s="311"/>
      <c r="I366" s="311"/>
      <c r="L366" s="311"/>
      <c r="M366" s="311"/>
      <c r="N366" s="311"/>
      <c r="Q366" s="311"/>
    </row>
    <row r="367" ht="15.75" customHeight="1">
      <c r="G367" s="311"/>
      <c r="H367" s="311"/>
      <c r="I367" s="311"/>
      <c r="L367" s="311"/>
      <c r="M367" s="311"/>
      <c r="N367" s="311"/>
      <c r="Q367" s="311"/>
    </row>
    <row r="368" ht="15.75" customHeight="1">
      <c r="G368" s="311"/>
      <c r="H368" s="311"/>
      <c r="I368" s="311"/>
      <c r="L368" s="311"/>
      <c r="M368" s="311"/>
      <c r="N368" s="311"/>
      <c r="Q368" s="311"/>
    </row>
    <row r="369" ht="15.75" customHeight="1">
      <c r="G369" s="311"/>
      <c r="H369" s="311"/>
      <c r="I369" s="311"/>
      <c r="L369" s="311"/>
      <c r="M369" s="311"/>
      <c r="N369" s="311"/>
      <c r="Q369" s="311"/>
    </row>
    <row r="370" ht="15.75" customHeight="1">
      <c r="G370" s="311"/>
      <c r="H370" s="311"/>
      <c r="I370" s="311"/>
      <c r="L370" s="311"/>
      <c r="M370" s="311"/>
      <c r="N370" s="311"/>
      <c r="Q370" s="311"/>
    </row>
    <row r="371" ht="15.75" customHeight="1">
      <c r="G371" s="311"/>
      <c r="H371" s="311"/>
      <c r="I371" s="311"/>
      <c r="L371" s="311"/>
      <c r="M371" s="311"/>
      <c r="N371" s="311"/>
      <c r="Q371" s="311"/>
    </row>
    <row r="372" ht="15.75" customHeight="1">
      <c r="G372" s="311"/>
      <c r="H372" s="311"/>
      <c r="I372" s="311"/>
      <c r="L372" s="311"/>
      <c r="M372" s="311"/>
      <c r="N372" s="311"/>
      <c r="Q372" s="311"/>
    </row>
    <row r="373" ht="15.75" customHeight="1">
      <c r="G373" s="311"/>
      <c r="H373" s="311"/>
      <c r="I373" s="311"/>
      <c r="L373" s="311"/>
      <c r="M373" s="311"/>
      <c r="N373" s="311"/>
      <c r="Q373" s="311"/>
    </row>
    <row r="374" ht="15.75" customHeight="1">
      <c r="G374" s="311"/>
      <c r="H374" s="311"/>
      <c r="I374" s="311"/>
      <c r="L374" s="311"/>
      <c r="M374" s="311"/>
      <c r="N374" s="311"/>
      <c r="Q374" s="311"/>
    </row>
    <row r="375" ht="15.75" customHeight="1">
      <c r="G375" s="311"/>
      <c r="H375" s="311"/>
      <c r="I375" s="311"/>
      <c r="L375" s="311"/>
      <c r="M375" s="311"/>
      <c r="N375" s="311"/>
      <c r="Q375" s="311"/>
    </row>
    <row r="376" ht="15.75" customHeight="1">
      <c r="G376" s="311"/>
      <c r="H376" s="311"/>
      <c r="I376" s="311"/>
      <c r="L376" s="311"/>
      <c r="M376" s="311"/>
      <c r="N376" s="311"/>
      <c r="Q376" s="311"/>
    </row>
    <row r="377" ht="15.75" customHeight="1">
      <c r="G377" s="311"/>
      <c r="H377" s="311"/>
      <c r="I377" s="311"/>
      <c r="L377" s="311"/>
      <c r="M377" s="311"/>
      <c r="N377" s="311"/>
      <c r="Q377" s="311"/>
    </row>
    <row r="378" ht="15.75" customHeight="1">
      <c r="G378" s="311"/>
      <c r="H378" s="311"/>
      <c r="I378" s="311"/>
      <c r="L378" s="311"/>
      <c r="M378" s="311"/>
      <c r="N378" s="311"/>
      <c r="Q378" s="311"/>
    </row>
    <row r="379" ht="15.75" customHeight="1">
      <c r="G379" s="311"/>
      <c r="H379" s="311"/>
      <c r="I379" s="311"/>
      <c r="L379" s="311"/>
      <c r="M379" s="311"/>
      <c r="N379" s="311"/>
      <c r="Q379" s="311"/>
    </row>
    <row r="380" ht="15.75" customHeight="1">
      <c r="G380" s="311"/>
      <c r="H380" s="311"/>
      <c r="I380" s="311"/>
      <c r="L380" s="311"/>
      <c r="M380" s="311"/>
      <c r="N380" s="311"/>
      <c r="Q380" s="311"/>
    </row>
    <row r="381" ht="15.75" customHeight="1">
      <c r="G381" s="311"/>
      <c r="H381" s="311"/>
      <c r="I381" s="311"/>
      <c r="L381" s="311"/>
      <c r="M381" s="311"/>
      <c r="N381" s="311"/>
      <c r="Q381" s="311"/>
    </row>
    <row r="382" ht="15.75" customHeight="1">
      <c r="G382" s="311"/>
      <c r="H382" s="311"/>
      <c r="I382" s="311"/>
      <c r="L382" s="311"/>
      <c r="M382" s="311"/>
      <c r="N382" s="311"/>
      <c r="Q382" s="311"/>
    </row>
    <row r="383" ht="15.75" customHeight="1">
      <c r="G383" s="311"/>
      <c r="H383" s="311"/>
      <c r="I383" s="311"/>
      <c r="L383" s="311"/>
      <c r="M383" s="311"/>
      <c r="N383" s="311"/>
      <c r="Q383" s="311"/>
    </row>
    <row r="384" ht="15.75" customHeight="1">
      <c r="G384" s="311"/>
      <c r="H384" s="311"/>
      <c r="I384" s="311"/>
      <c r="L384" s="311"/>
      <c r="M384" s="311"/>
      <c r="N384" s="311"/>
      <c r="Q384" s="311"/>
    </row>
    <row r="385" ht="15.75" customHeight="1">
      <c r="G385" s="311"/>
      <c r="H385" s="311"/>
      <c r="I385" s="311"/>
      <c r="L385" s="311"/>
      <c r="M385" s="311"/>
      <c r="N385" s="311"/>
      <c r="Q385" s="311"/>
    </row>
    <row r="386" ht="15.75" customHeight="1">
      <c r="G386" s="311"/>
      <c r="H386" s="311"/>
      <c r="I386" s="311"/>
      <c r="L386" s="311"/>
      <c r="M386" s="311"/>
      <c r="N386" s="311"/>
      <c r="Q386" s="311"/>
    </row>
    <row r="387" ht="15.75" customHeight="1">
      <c r="G387" s="311"/>
      <c r="H387" s="311"/>
      <c r="I387" s="311"/>
      <c r="L387" s="311"/>
      <c r="M387" s="311"/>
      <c r="N387" s="311"/>
      <c r="Q387" s="311"/>
    </row>
    <row r="388" ht="15.75" customHeight="1">
      <c r="G388" s="311"/>
      <c r="H388" s="311"/>
      <c r="I388" s="311"/>
      <c r="L388" s="311"/>
      <c r="M388" s="311"/>
      <c r="N388" s="311"/>
      <c r="Q388" s="311"/>
    </row>
    <row r="389" ht="15.75" customHeight="1">
      <c r="G389" s="311"/>
      <c r="H389" s="311"/>
      <c r="I389" s="311"/>
      <c r="L389" s="311"/>
      <c r="M389" s="311"/>
      <c r="N389" s="311"/>
      <c r="Q389" s="311"/>
    </row>
    <row r="390" ht="15.75" customHeight="1">
      <c r="G390" s="311"/>
      <c r="H390" s="311"/>
      <c r="I390" s="311"/>
      <c r="L390" s="311"/>
      <c r="M390" s="311"/>
      <c r="N390" s="311"/>
      <c r="Q390" s="311"/>
    </row>
    <row r="391" ht="15.75" customHeight="1">
      <c r="G391" s="311"/>
      <c r="H391" s="311"/>
      <c r="I391" s="311"/>
      <c r="L391" s="311"/>
      <c r="M391" s="311"/>
      <c r="N391" s="311"/>
      <c r="Q391" s="311"/>
    </row>
    <row r="392" ht="15.75" customHeight="1">
      <c r="G392" s="311"/>
      <c r="H392" s="311"/>
      <c r="I392" s="311"/>
      <c r="L392" s="311"/>
      <c r="M392" s="311"/>
      <c r="N392" s="311"/>
      <c r="Q392" s="311"/>
    </row>
    <row r="393" ht="15.75" customHeight="1">
      <c r="G393" s="311"/>
      <c r="H393" s="311"/>
      <c r="I393" s="311"/>
      <c r="L393" s="311"/>
      <c r="M393" s="311"/>
      <c r="N393" s="311"/>
      <c r="Q393" s="311"/>
    </row>
    <row r="394" ht="15.75" customHeight="1">
      <c r="G394" s="311"/>
      <c r="H394" s="311"/>
      <c r="I394" s="311"/>
      <c r="L394" s="311"/>
      <c r="M394" s="311"/>
      <c r="N394" s="311"/>
      <c r="Q394" s="311"/>
    </row>
    <row r="395" ht="15.75" customHeight="1">
      <c r="G395" s="311"/>
      <c r="H395" s="311"/>
      <c r="I395" s="311"/>
      <c r="L395" s="311"/>
      <c r="M395" s="311"/>
      <c r="N395" s="311"/>
      <c r="Q395" s="311"/>
    </row>
    <row r="396" ht="15.75" customHeight="1">
      <c r="G396" s="311"/>
      <c r="H396" s="311"/>
      <c r="I396" s="311"/>
      <c r="L396" s="311"/>
      <c r="M396" s="311"/>
      <c r="N396" s="311"/>
      <c r="Q396" s="311"/>
    </row>
    <row r="397" ht="15.75" customHeight="1">
      <c r="G397" s="311"/>
      <c r="H397" s="311"/>
      <c r="I397" s="311"/>
      <c r="L397" s="311"/>
      <c r="M397" s="311"/>
      <c r="N397" s="311"/>
      <c r="Q397" s="311"/>
    </row>
    <row r="398" ht="15.75" customHeight="1">
      <c r="G398" s="311"/>
      <c r="H398" s="311"/>
      <c r="I398" s="311"/>
      <c r="L398" s="311"/>
      <c r="M398" s="311"/>
      <c r="N398" s="311"/>
      <c r="Q398" s="311"/>
    </row>
    <row r="399" ht="15.75" customHeight="1">
      <c r="G399" s="311"/>
      <c r="H399" s="311"/>
      <c r="I399" s="311"/>
      <c r="L399" s="311"/>
      <c r="M399" s="311"/>
      <c r="N399" s="311"/>
      <c r="Q399" s="311"/>
    </row>
    <row r="400" ht="15.75" customHeight="1">
      <c r="G400" s="311"/>
      <c r="H400" s="311"/>
      <c r="I400" s="311"/>
      <c r="L400" s="311"/>
      <c r="M400" s="311"/>
      <c r="N400" s="311"/>
      <c r="Q400" s="311"/>
    </row>
    <row r="401" ht="15.75" customHeight="1">
      <c r="G401" s="311"/>
      <c r="H401" s="311"/>
      <c r="I401" s="311"/>
      <c r="L401" s="311"/>
      <c r="M401" s="311"/>
      <c r="N401" s="311"/>
      <c r="Q401" s="311"/>
    </row>
    <row r="402" ht="15.75" customHeight="1">
      <c r="G402" s="311"/>
      <c r="H402" s="311"/>
      <c r="I402" s="311"/>
      <c r="L402" s="311"/>
      <c r="M402" s="311"/>
      <c r="N402" s="311"/>
      <c r="Q402" s="311"/>
    </row>
    <row r="403" ht="15.75" customHeight="1">
      <c r="G403" s="311"/>
      <c r="H403" s="311"/>
      <c r="I403" s="311"/>
      <c r="L403" s="311"/>
      <c r="M403" s="311"/>
      <c r="N403" s="311"/>
      <c r="Q403" s="311"/>
    </row>
    <row r="404" ht="15.75" customHeight="1">
      <c r="G404" s="311"/>
      <c r="H404" s="311"/>
      <c r="I404" s="311"/>
      <c r="L404" s="311"/>
      <c r="M404" s="311"/>
      <c r="N404" s="311"/>
      <c r="Q404" s="311"/>
    </row>
    <row r="405" ht="15.75" customHeight="1">
      <c r="G405" s="311"/>
      <c r="H405" s="311"/>
      <c r="I405" s="311"/>
      <c r="L405" s="311"/>
      <c r="M405" s="311"/>
      <c r="N405" s="311"/>
      <c r="Q405" s="311"/>
    </row>
    <row r="406" ht="15.75" customHeight="1">
      <c r="G406" s="311"/>
      <c r="H406" s="311"/>
      <c r="I406" s="311"/>
      <c r="L406" s="311"/>
      <c r="M406" s="311"/>
      <c r="N406" s="311"/>
      <c r="Q406" s="311"/>
    </row>
    <row r="407" ht="15.75" customHeight="1">
      <c r="G407" s="311"/>
      <c r="H407" s="311"/>
      <c r="I407" s="311"/>
      <c r="L407" s="311"/>
      <c r="M407" s="311"/>
      <c r="N407" s="311"/>
      <c r="Q407" s="311"/>
    </row>
    <row r="408" ht="15.75" customHeight="1">
      <c r="G408" s="311"/>
      <c r="H408" s="311"/>
      <c r="I408" s="311"/>
      <c r="L408" s="311"/>
      <c r="M408" s="311"/>
      <c r="N408" s="311"/>
      <c r="Q408" s="311"/>
    </row>
    <row r="409" ht="15.75" customHeight="1">
      <c r="G409" s="311"/>
      <c r="H409" s="311"/>
      <c r="I409" s="311"/>
      <c r="L409" s="311"/>
      <c r="M409" s="311"/>
      <c r="N409" s="311"/>
      <c r="Q409" s="311"/>
    </row>
    <row r="410" ht="15.75" customHeight="1">
      <c r="G410" s="311"/>
      <c r="H410" s="311"/>
      <c r="I410" s="311"/>
      <c r="L410" s="311"/>
      <c r="M410" s="311"/>
      <c r="N410" s="311"/>
      <c r="Q410" s="311"/>
    </row>
    <row r="411" ht="15.75" customHeight="1">
      <c r="G411" s="311"/>
      <c r="H411" s="311"/>
      <c r="I411" s="311"/>
      <c r="L411" s="311"/>
      <c r="M411" s="311"/>
      <c r="N411" s="311"/>
      <c r="Q411" s="311"/>
    </row>
    <row r="412" ht="15.75" customHeight="1">
      <c r="G412" s="311"/>
      <c r="H412" s="311"/>
      <c r="I412" s="311"/>
      <c r="L412" s="311"/>
      <c r="M412" s="311"/>
      <c r="N412" s="311"/>
      <c r="Q412" s="311"/>
    </row>
    <row r="413" ht="15.75" customHeight="1">
      <c r="G413" s="311"/>
      <c r="H413" s="311"/>
      <c r="I413" s="311"/>
      <c r="L413" s="311"/>
      <c r="M413" s="311"/>
      <c r="N413" s="311"/>
      <c r="Q413" s="311"/>
    </row>
    <row r="414" ht="15.75" customHeight="1">
      <c r="G414" s="311"/>
      <c r="H414" s="311"/>
      <c r="I414" s="311"/>
      <c r="L414" s="311"/>
      <c r="M414" s="311"/>
      <c r="N414" s="311"/>
      <c r="Q414" s="311"/>
    </row>
    <row r="415" ht="15.75" customHeight="1">
      <c r="G415" s="311"/>
      <c r="H415" s="311"/>
      <c r="I415" s="311"/>
      <c r="L415" s="311"/>
      <c r="M415" s="311"/>
      <c r="N415" s="311"/>
      <c r="Q415" s="311"/>
    </row>
    <row r="416" ht="15.75" customHeight="1">
      <c r="G416" s="311"/>
      <c r="H416" s="311"/>
      <c r="I416" s="311"/>
      <c r="L416" s="311"/>
      <c r="M416" s="311"/>
      <c r="N416" s="311"/>
      <c r="Q416" s="311"/>
    </row>
    <row r="417" ht="15.75" customHeight="1">
      <c r="G417" s="311"/>
      <c r="H417" s="311"/>
      <c r="I417" s="311"/>
      <c r="L417" s="311"/>
      <c r="M417" s="311"/>
      <c r="N417" s="311"/>
      <c r="Q417" s="311"/>
    </row>
    <row r="418" ht="15.75" customHeight="1">
      <c r="G418" s="311"/>
      <c r="H418" s="311"/>
      <c r="I418" s="311"/>
      <c r="L418" s="311"/>
      <c r="M418" s="311"/>
      <c r="N418" s="311"/>
      <c r="Q418" s="311"/>
    </row>
    <row r="419" ht="15.75" customHeight="1">
      <c r="G419" s="311"/>
      <c r="H419" s="311"/>
      <c r="I419" s="311"/>
      <c r="L419" s="311"/>
      <c r="M419" s="311"/>
      <c r="N419" s="311"/>
      <c r="Q419" s="311"/>
    </row>
    <row r="420" ht="15.75" customHeight="1">
      <c r="G420" s="311"/>
      <c r="H420" s="311"/>
      <c r="I420" s="311"/>
      <c r="L420" s="311"/>
      <c r="M420" s="311"/>
      <c r="N420" s="311"/>
      <c r="Q420" s="311"/>
    </row>
    <row r="421" ht="15.75" customHeight="1">
      <c r="G421" s="311"/>
      <c r="H421" s="311"/>
      <c r="I421" s="311"/>
      <c r="L421" s="311"/>
      <c r="M421" s="311"/>
      <c r="N421" s="311"/>
      <c r="Q421" s="311"/>
    </row>
    <row r="422" ht="15.75" customHeight="1">
      <c r="G422" s="311"/>
      <c r="H422" s="311"/>
      <c r="I422" s="311"/>
      <c r="L422" s="311"/>
      <c r="M422" s="311"/>
      <c r="N422" s="311"/>
      <c r="Q422" s="311"/>
    </row>
    <row r="423" ht="15.75" customHeight="1">
      <c r="G423" s="311"/>
      <c r="H423" s="311"/>
      <c r="I423" s="311"/>
      <c r="L423" s="311"/>
      <c r="M423" s="311"/>
      <c r="N423" s="311"/>
      <c r="Q423" s="311"/>
    </row>
    <row r="424" ht="15.75" customHeight="1">
      <c r="G424" s="311"/>
      <c r="H424" s="311"/>
      <c r="I424" s="311"/>
      <c r="L424" s="311"/>
      <c r="M424" s="311"/>
      <c r="N424" s="311"/>
      <c r="Q424" s="311"/>
    </row>
    <row r="425" ht="15.75" customHeight="1">
      <c r="G425" s="311"/>
      <c r="H425" s="311"/>
      <c r="I425" s="311"/>
      <c r="L425" s="311"/>
      <c r="M425" s="311"/>
      <c r="N425" s="311"/>
      <c r="Q425" s="311"/>
    </row>
    <row r="426" ht="15.75" customHeight="1">
      <c r="G426" s="311"/>
      <c r="H426" s="311"/>
      <c r="I426" s="311"/>
      <c r="L426" s="311"/>
      <c r="M426" s="311"/>
      <c r="N426" s="311"/>
      <c r="Q426" s="311"/>
    </row>
    <row r="427" ht="15.75" customHeight="1">
      <c r="G427" s="311"/>
      <c r="H427" s="311"/>
      <c r="I427" s="311"/>
      <c r="L427" s="311"/>
      <c r="M427" s="311"/>
      <c r="N427" s="311"/>
      <c r="Q427" s="311"/>
    </row>
    <row r="428" ht="15.75" customHeight="1">
      <c r="G428" s="311"/>
      <c r="H428" s="311"/>
      <c r="I428" s="311"/>
      <c r="L428" s="311"/>
      <c r="M428" s="311"/>
      <c r="N428" s="311"/>
      <c r="Q428" s="311"/>
    </row>
    <row r="429" ht="15.75" customHeight="1">
      <c r="G429" s="311"/>
      <c r="H429" s="311"/>
      <c r="I429" s="311"/>
      <c r="L429" s="311"/>
      <c r="M429" s="311"/>
      <c r="N429" s="311"/>
      <c r="Q429" s="311"/>
    </row>
    <row r="430" ht="15.75" customHeight="1">
      <c r="G430" s="311"/>
      <c r="H430" s="311"/>
      <c r="I430" s="311"/>
      <c r="L430" s="311"/>
      <c r="M430" s="311"/>
      <c r="N430" s="311"/>
      <c r="Q430" s="311"/>
    </row>
    <row r="431" ht="15.75" customHeight="1">
      <c r="G431" s="311"/>
      <c r="H431" s="311"/>
      <c r="I431" s="311"/>
      <c r="L431" s="311"/>
      <c r="M431" s="311"/>
      <c r="N431" s="311"/>
      <c r="Q431" s="311"/>
    </row>
    <row r="432" ht="15.75" customHeight="1">
      <c r="G432" s="311"/>
      <c r="H432" s="311"/>
      <c r="I432" s="311"/>
      <c r="L432" s="311"/>
      <c r="M432" s="311"/>
      <c r="N432" s="311"/>
      <c r="Q432" s="311"/>
    </row>
    <row r="433" ht="15.75" customHeight="1">
      <c r="G433" s="311"/>
      <c r="H433" s="311"/>
      <c r="I433" s="311"/>
      <c r="L433" s="311"/>
      <c r="M433" s="311"/>
      <c r="N433" s="311"/>
      <c r="Q433" s="311"/>
    </row>
    <row r="434" ht="15.75" customHeight="1">
      <c r="G434" s="311"/>
      <c r="H434" s="311"/>
      <c r="I434" s="311"/>
      <c r="L434" s="311"/>
      <c r="M434" s="311"/>
      <c r="N434" s="311"/>
      <c r="Q434" s="311"/>
    </row>
    <row r="435" ht="15.75" customHeight="1">
      <c r="G435" s="311"/>
      <c r="H435" s="311"/>
      <c r="I435" s="311"/>
      <c r="L435" s="311"/>
      <c r="M435" s="311"/>
      <c r="N435" s="311"/>
      <c r="Q435" s="311"/>
    </row>
    <row r="436" ht="15.75" customHeight="1">
      <c r="G436" s="311"/>
      <c r="H436" s="311"/>
      <c r="I436" s="311"/>
      <c r="L436" s="311"/>
      <c r="M436" s="311"/>
      <c r="N436" s="311"/>
      <c r="Q436" s="311"/>
    </row>
    <row r="437" ht="15.75" customHeight="1">
      <c r="G437" s="311"/>
      <c r="H437" s="311"/>
      <c r="I437" s="311"/>
      <c r="L437" s="311"/>
      <c r="M437" s="311"/>
      <c r="N437" s="311"/>
      <c r="Q437" s="311"/>
    </row>
    <row r="438" ht="15.75" customHeight="1">
      <c r="G438" s="311"/>
      <c r="H438" s="311"/>
      <c r="I438" s="311"/>
      <c r="L438" s="311"/>
      <c r="M438" s="311"/>
      <c r="N438" s="311"/>
      <c r="Q438" s="311"/>
    </row>
    <row r="439" ht="15.75" customHeight="1">
      <c r="G439" s="311"/>
      <c r="H439" s="311"/>
      <c r="I439" s="311"/>
      <c r="L439" s="311"/>
      <c r="M439" s="311"/>
      <c r="N439" s="311"/>
      <c r="Q439" s="311"/>
    </row>
    <row r="440" ht="15.75" customHeight="1">
      <c r="G440" s="311"/>
      <c r="H440" s="311"/>
      <c r="I440" s="311"/>
      <c r="L440" s="311"/>
      <c r="M440" s="311"/>
      <c r="N440" s="311"/>
      <c r="Q440" s="311"/>
    </row>
    <row r="441" ht="15.75" customHeight="1">
      <c r="G441" s="311"/>
      <c r="H441" s="311"/>
      <c r="I441" s="311"/>
      <c r="L441" s="311"/>
      <c r="M441" s="311"/>
      <c r="N441" s="311"/>
      <c r="Q441" s="311"/>
    </row>
    <row r="442" ht="15.75" customHeight="1">
      <c r="G442" s="311"/>
      <c r="H442" s="311"/>
      <c r="I442" s="311"/>
      <c r="L442" s="311"/>
      <c r="M442" s="311"/>
      <c r="N442" s="311"/>
      <c r="Q442" s="311"/>
    </row>
    <row r="443" ht="15.75" customHeight="1">
      <c r="G443" s="311"/>
      <c r="H443" s="311"/>
      <c r="I443" s="311"/>
      <c r="L443" s="311"/>
      <c r="M443" s="311"/>
      <c r="N443" s="311"/>
      <c r="Q443" s="311"/>
    </row>
    <row r="444" ht="15.75" customHeight="1">
      <c r="G444" s="311"/>
      <c r="H444" s="311"/>
      <c r="I444" s="311"/>
      <c r="L444" s="311"/>
      <c r="M444" s="311"/>
      <c r="N444" s="311"/>
      <c r="Q444" s="311"/>
    </row>
    <row r="445" ht="15.75" customHeight="1">
      <c r="G445" s="311"/>
      <c r="H445" s="311"/>
      <c r="I445" s="311"/>
      <c r="L445" s="311"/>
      <c r="M445" s="311"/>
      <c r="N445" s="311"/>
      <c r="Q445" s="311"/>
    </row>
    <row r="446" ht="15.75" customHeight="1">
      <c r="G446" s="311"/>
      <c r="H446" s="311"/>
      <c r="I446" s="311"/>
      <c r="L446" s="311"/>
      <c r="M446" s="311"/>
      <c r="N446" s="311"/>
      <c r="Q446" s="311"/>
    </row>
    <row r="447" ht="15.75" customHeight="1">
      <c r="G447" s="311"/>
      <c r="H447" s="311"/>
      <c r="I447" s="311"/>
      <c r="L447" s="311"/>
      <c r="M447" s="311"/>
      <c r="N447" s="311"/>
      <c r="Q447" s="311"/>
    </row>
    <row r="448" ht="15.75" customHeight="1">
      <c r="G448" s="311"/>
      <c r="H448" s="311"/>
      <c r="I448" s="311"/>
      <c r="L448" s="311"/>
      <c r="M448" s="311"/>
      <c r="N448" s="311"/>
      <c r="Q448" s="311"/>
    </row>
    <row r="449" ht="15.75" customHeight="1">
      <c r="G449" s="311"/>
      <c r="H449" s="311"/>
      <c r="I449" s="311"/>
      <c r="L449" s="311"/>
      <c r="M449" s="311"/>
      <c r="N449" s="311"/>
      <c r="Q449" s="311"/>
    </row>
    <row r="450" ht="15.75" customHeight="1">
      <c r="G450" s="311"/>
      <c r="H450" s="311"/>
      <c r="I450" s="311"/>
      <c r="L450" s="311"/>
      <c r="M450" s="311"/>
      <c r="N450" s="311"/>
      <c r="Q450" s="311"/>
    </row>
    <row r="451" ht="15.75" customHeight="1">
      <c r="G451" s="311"/>
      <c r="H451" s="311"/>
      <c r="I451" s="311"/>
      <c r="L451" s="311"/>
      <c r="M451" s="311"/>
      <c r="N451" s="311"/>
      <c r="Q451" s="311"/>
    </row>
    <row r="452" ht="15.75" customHeight="1">
      <c r="G452" s="311"/>
      <c r="H452" s="311"/>
      <c r="I452" s="311"/>
      <c r="L452" s="311"/>
      <c r="M452" s="311"/>
      <c r="N452" s="311"/>
      <c r="Q452" s="311"/>
    </row>
    <row r="453" ht="15.75" customHeight="1">
      <c r="G453" s="311"/>
      <c r="H453" s="311"/>
      <c r="I453" s="311"/>
      <c r="L453" s="311"/>
      <c r="M453" s="311"/>
      <c r="N453" s="311"/>
      <c r="Q453" s="311"/>
    </row>
    <row r="454" ht="15.75" customHeight="1">
      <c r="G454" s="311"/>
      <c r="H454" s="311"/>
      <c r="I454" s="311"/>
      <c r="L454" s="311"/>
      <c r="M454" s="311"/>
      <c r="N454" s="311"/>
      <c r="Q454" s="311"/>
    </row>
    <row r="455" ht="15.75" customHeight="1">
      <c r="G455" s="311"/>
      <c r="H455" s="311"/>
      <c r="I455" s="311"/>
      <c r="L455" s="311"/>
      <c r="M455" s="311"/>
      <c r="N455" s="311"/>
      <c r="Q455" s="311"/>
    </row>
    <row r="456" ht="15.75" customHeight="1">
      <c r="G456" s="311"/>
      <c r="H456" s="311"/>
      <c r="I456" s="311"/>
      <c r="L456" s="311"/>
      <c r="M456" s="311"/>
      <c r="N456" s="311"/>
      <c r="Q456" s="311"/>
    </row>
    <row r="457" ht="15.75" customHeight="1">
      <c r="G457" s="311"/>
      <c r="H457" s="311"/>
      <c r="I457" s="311"/>
      <c r="L457" s="311"/>
      <c r="M457" s="311"/>
      <c r="N457" s="311"/>
      <c r="Q457" s="311"/>
    </row>
    <row r="458" ht="15.75" customHeight="1">
      <c r="G458" s="311"/>
      <c r="H458" s="311"/>
      <c r="I458" s="311"/>
      <c r="L458" s="311"/>
      <c r="M458" s="311"/>
      <c r="N458" s="311"/>
      <c r="Q458" s="311"/>
    </row>
    <row r="459" ht="15.75" customHeight="1">
      <c r="G459" s="311"/>
      <c r="H459" s="311"/>
      <c r="I459" s="311"/>
      <c r="L459" s="311"/>
      <c r="M459" s="311"/>
      <c r="N459" s="311"/>
      <c r="Q459" s="311"/>
    </row>
    <row r="460" ht="15.75" customHeight="1">
      <c r="G460" s="311"/>
      <c r="H460" s="311"/>
      <c r="I460" s="311"/>
      <c r="L460" s="311"/>
      <c r="M460" s="311"/>
      <c r="N460" s="311"/>
      <c r="Q460" s="311"/>
    </row>
    <row r="461" ht="15.75" customHeight="1">
      <c r="G461" s="311"/>
      <c r="H461" s="311"/>
      <c r="I461" s="311"/>
      <c r="L461" s="311"/>
      <c r="M461" s="311"/>
      <c r="N461" s="311"/>
      <c r="Q461" s="311"/>
    </row>
    <row r="462" ht="15.75" customHeight="1">
      <c r="G462" s="311"/>
      <c r="H462" s="311"/>
      <c r="I462" s="311"/>
      <c r="L462" s="311"/>
      <c r="M462" s="311"/>
      <c r="N462" s="311"/>
      <c r="Q462" s="311"/>
    </row>
    <row r="463" ht="15.75" customHeight="1">
      <c r="G463" s="311"/>
      <c r="H463" s="311"/>
      <c r="I463" s="311"/>
      <c r="L463" s="311"/>
      <c r="M463" s="311"/>
      <c r="N463" s="311"/>
      <c r="Q463" s="311"/>
    </row>
    <row r="464" ht="15.75" customHeight="1">
      <c r="G464" s="311"/>
      <c r="H464" s="311"/>
      <c r="I464" s="311"/>
      <c r="L464" s="311"/>
      <c r="M464" s="311"/>
      <c r="N464" s="311"/>
      <c r="Q464" s="311"/>
    </row>
    <row r="465" ht="15.75" customHeight="1">
      <c r="G465" s="311"/>
      <c r="H465" s="311"/>
      <c r="I465" s="311"/>
      <c r="L465" s="311"/>
      <c r="M465" s="311"/>
      <c r="N465" s="311"/>
      <c r="Q465" s="311"/>
    </row>
    <row r="466" ht="15.75" customHeight="1">
      <c r="G466" s="311"/>
      <c r="H466" s="311"/>
      <c r="I466" s="311"/>
      <c r="L466" s="311"/>
      <c r="M466" s="311"/>
      <c r="N466" s="311"/>
      <c r="Q466" s="311"/>
    </row>
    <row r="467" ht="15.75" customHeight="1">
      <c r="G467" s="311"/>
      <c r="H467" s="311"/>
      <c r="I467" s="311"/>
      <c r="L467" s="311"/>
      <c r="M467" s="311"/>
      <c r="N467" s="311"/>
      <c r="Q467" s="311"/>
    </row>
    <row r="468" ht="15.75" customHeight="1">
      <c r="G468" s="311"/>
      <c r="H468" s="311"/>
      <c r="I468" s="311"/>
      <c r="L468" s="311"/>
      <c r="M468" s="311"/>
      <c r="N468" s="311"/>
      <c r="Q468" s="311"/>
    </row>
    <row r="469" ht="15.75" customHeight="1">
      <c r="G469" s="311"/>
      <c r="H469" s="311"/>
      <c r="I469" s="311"/>
      <c r="L469" s="311"/>
      <c r="M469" s="311"/>
      <c r="N469" s="311"/>
      <c r="Q469" s="311"/>
    </row>
    <row r="470" ht="15.75" customHeight="1">
      <c r="G470" s="311"/>
      <c r="H470" s="311"/>
      <c r="I470" s="311"/>
      <c r="L470" s="311"/>
      <c r="M470" s="311"/>
      <c r="N470" s="311"/>
      <c r="Q470" s="311"/>
    </row>
    <row r="471" ht="15.75" customHeight="1">
      <c r="G471" s="311"/>
      <c r="H471" s="311"/>
      <c r="I471" s="311"/>
      <c r="L471" s="311"/>
      <c r="M471" s="311"/>
      <c r="N471" s="311"/>
      <c r="Q471" s="311"/>
    </row>
    <row r="472" ht="15.75" customHeight="1">
      <c r="G472" s="311"/>
      <c r="H472" s="311"/>
      <c r="I472" s="311"/>
      <c r="L472" s="311"/>
      <c r="M472" s="311"/>
      <c r="N472" s="311"/>
      <c r="Q472" s="311"/>
    </row>
    <row r="473" ht="15.75" customHeight="1">
      <c r="G473" s="311"/>
      <c r="H473" s="311"/>
      <c r="I473" s="311"/>
      <c r="L473" s="311"/>
      <c r="M473" s="311"/>
      <c r="N473" s="311"/>
      <c r="Q473" s="311"/>
    </row>
    <row r="474" ht="15.75" customHeight="1">
      <c r="G474" s="311"/>
      <c r="H474" s="311"/>
      <c r="I474" s="311"/>
      <c r="L474" s="311"/>
      <c r="M474" s="311"/>
      <c r="N474" s="311"/>
      <c r="Q474" s="311"/>
    </row>
    <row r="475" ht="15.75" customHeight="1">
      <c r="G475" s="311"/>
      <c r="H475" s="311"/>
      <c r="I475" s="311"/>
      <c r="L475" s="311"/>
      <c r="M475" s="311"/>
      <c r="N475" s="311"/>
      <c r="Q475" s="311"/>
    </row>
    <row r="476" ht="15.75" customHeight="1">
      <c r="G476" s="311"/>
      <c r="H476" s="311"/>
      <c r="I476" s="311"/>
      <c r="L476" s="311"/>
      <c r="M476" s="311"/>
      <c r="N476" s="311"/>
      <c r="Q476" s="311"/>
    </row>
    <row r="477" ht="15.75" customHeight="1">
      <c r="G477" s="311"/>
      <c r="H477" s="311"/>
      <c r="I477" s="311"/>
      <c r="L477" s="311"/>
      <c r="M477" s="311"/>
      <c r="N477" s="311"/>
      <c r="Q477" s="311"/>
    </row>
    <row r="478" ht="15.75" customHeight="1">
      <c r="G478" s="311"/>
      <c r="H478" s="311"/>
      <c r="I478" s="311"/>
      <c r="L478" s="311"/>
      <c r="M478" s="311"/>
      <c r="N478" s="311"/>
      <c r="Q478" s="311"/>
    </row>
    <row r="479" ht="15.75" customHeight="1">
      <c r="G479" s="311"/>
      <c r="H479" s="311"/>
      <c r="I479" s="311"/>
      <c r="L479" s="311"/>
      <c r="M479" s="311"/>
      <c r="N479" s="311"/>
      <c r="Q479" s="311"/>
    </row>
    <row r="480" ht="15.75" customHeight="1">
      <c r="G480" s="311"/>
      <c r="H480" s="311"/>
      <c r="I480" s="311"/>
      <c r="L480" s="311"/>
      <c r="M480" s="311"/>
      <c r="N480" s="311"/>
      <c r="Q480" s="311"/>
    </row>
    <row r="481" ht="15.75" customHeight="1">
      <c r="G481" s="311"/>
      <c r="H481" s="311"/>
      <c r="I481" s="311"/>
      <c r="L481" s="311"/>
      <c r="M481" s="311"/>
      <c r="N481" s="311"/>
      <c r="Q481" s="311"/>
    </row>
    <row r="482" ht="15.75" customHeight="1">
      <c r="G482" s="311"/>
      <c r="H482" s="311"/>
      <c r="I482" s="311"/>
      <c r="L482" s="311"/>
      <c r="M482" s="311"/>
      <c r="N482" s="311"/>
      <c r="Q482" s="311"/>
    </row>
    <row r="483" ht="15.75" customHeight="1">
      <c r="G483" s="311"/>
      <c r="H483" s="311"/>
      <c r="I483" s="311"/>
      <c r="L483" s="311"/>
      <c r="M483" s="311"/>
      <c r="N483" s="311"/>
      <c r="Q483" s="311"/>
    </row>
    <row r="484" ht="15.75" customHeight="1">
      <c r="G484" s="311"/>
      <c r="H484" s="311"/>
      <c r="I484" s="311"/>
      <c r="L484" s="311"/>
      <c r="M484" s="311"/>
      <c r="N484" s="311"/>
      <c r="Q484" s="311"/>
    </row>
    <row r="485" ht="15.75" customHeight="1">
      <c r="G485" s="311"/>
      <c r="H485" s="311"/>
      <c r="I485" s="311"/>
      <c r="L485" s="311"/>
      <c r="M485" s="311"/>
      <c r="N485" s="311"/>
      <c r="Q485" s="311"/>
    </row>
    <row r="486" ht="15.75" customHeight="1">
      <c r="G486" s="311"/>
      <c r="H486" s="311"/>
      <c r="I486" s="311"/>
      <c r="L486" s="311"/>
      <c r="M486" s="311"/>
      <c r="N486" s="311"/>
      <c r="Q486" s="311"/>
    </row>
    <row r="487" ht="15.75" customHeight="1">
      <c r="G487" s="311"/>
      <c r="H487" s="311"/>
      <c r="I487" s="311"/>
      <c r="L487" s="311"/>
      <c r="M487" s="311"/>
      <c r="N487" s="311"/>
      <c r="Q487" s="311"/>
    </row>
    <row r="488" ht="15.75" customHeight="1">
      <c r="G488" s="311"/>
      <c r="H488" s="311"/>
      <c r="I488" s="311"/>
      <c r="L488" s="311"/>
      <c r="M488" s="311"/>
      <c r="N488" s="311"/>
      <c r="Q488" s="311"/>
    </row>
    <row r="489" ht="15.75" customHeight="1">
      <c r="G489" s="311"/>
      <c r="H489" s="311"/>
      <c r="I489" s="311"/>
      <c r="L489" s="311"/>
      <c r="M489" s="311"/>
      <c r="N489" s="311"/>
      <c r="Q489" s="311"/>
    </row>
    <row r="490" ht="15.75" customHeight="1">
      <c r="G490" s="311"/>
      <c r="H490" s="311"/>
      <c r="I490" s="311"/>
      <c r="L490" s="311"/>
      <c r="M490" s="311"/>
      <c r="N490" s="311"/>
      <c r="Q490" s="311"/>
    </row>
    <row r="491" ht="15.75" customHeight="1">
      <c r="G491" s="311"/>
      <c r="H491" s="311"/>
      <c r="I491" s="311"/>
      <c r="L491" s="311"/>
      <c r="M491" s="311"/>
      <c r="N491" s="311"/>
      <c r="Q491" s="311"/>
    </row>
    <row r="492" ht="15.75" customHeight="1">
      <c r="G492" s="311"/>
      <c r="H492" s="311"/>
      <c r="I492" s="311"/>
      <c r="L492" s="311"/>
      <c r="M492" s="311"/>
      <c r="N492" s="311"/>
      <c r="Q492" s="311"/>
    </row>
    <row r="493" ht="15.75" customHeight="1">
      <c r="G493" s="311"/>
      <c r="H493" s="311"/>
      <c r="I493" s="311"/>
      <c r="L493" s="311"/>
      <c r="M493" s="311"/>
      <c r="N493" s="311"/>
      <c r="Q493" s="311"/>
    </row>
    <row r="494" ht="15.75" customHeight="1">
      <c r="G494" s="311"/>
      <c r="H494" s="311"/>
      <c r="I494" s="311"/>
      <c r="L494" s="311"/>
      <c r="M494" s="311"/>
      <c r="N494" s="311"/>
      <c r="Q494" s="311"/>
    </row>
    <row r="495" ht="15.75" customHeight="1">
      <c r="G495" s="311"/>
      <c r="H495" s="311"/>
      <c r="I495" s="311"/>
      <c r="L495" s="311"/>
      <c r="M495" s="311"/>
      <c r="N495" s="311"/>
      <c r="Q495" s="311"/>
    </row>
    <row r="496" ht="15.75" customHeight="1">
      <c r="G496" s="311"/>
      <c r="H496" s="311"/>
      <c r="I496" s="311"/>
      <c r="L496" s="311"/>
      <c r="M496" s="311"/>
      <c r="N496" s="311"/>
      <c r="Q496" s="311"/>
    </row>
    <row r="497" ht="15.75" customHeight="1">
      <c r="G497" s="311"/>
      <c r="H497" s="311"/>
      <c r="I497" s="311"/>
      <c r="L497" s="311"/>
      <c r="M497" s="311"/>
      <c r="N497" s="311"/>
      <c r="Q497" s="311"/>
    </row>
    <row r="498" ht="15.75" customHeight="1">
      <c r="G498" s="311"/>
      <c r="H498" s="311"/>
      <c r="I498" s="311"/>
      <c r="L498" s="311"/>
      <c r="M498" s="311"/>
      <c r="N498" s="311"/>
      <c r="Q498" s="311"/>
    </row>
    <row r="499" ht="15.75" customHeight="1">
      <c r="G499" s="311"/>
      <c r="H499" s="311"/>
      <c r="I499" s="311"/>
      <c r="L499" s="311"/>
      <c r="M499" s="311"/>
      <c r="N499" s="311"/>
      <c r="Q499" s="311"/>
    </row>
    <row r="500" ht="15.75" customHeight="1">
      <c r="G500" s="311"/>
      <c r="H500" s="311"/>
      <c r="I500" s="311"/>
      <c r="L500" s="311"/>
      <c r="M500" s="311"/>
      <c r="N500" s="311"/>
      <c r="Q500" s="311"/>
    </row>
    <row r="501" ht="15.75" customHeight="1">
      <c r="G501" s="311"/>
      <c r="H501" s="311"/>
      <c r="I501" s="311"/>
      <c r="L501" s="311"/>
      <c r="M501" s="311"/>
      <c r="N501" s="311"/>
      <c r="Q501" s="311"/>
    </row>
    <row r="502" ht="15.75" customHeight="1">
      <c r="G502" s="311"/>
      <c r="H502" s="311"/>
      <c r="I502" s="311"/>
      <c r="L502" s="311"/>
      <c r="M502" s="311"/>
      <c r="N502" s="311"/>
      <c r="Q502" s="311"/>
    </row>
    <row r="503" ht="15.75" customHeight="1">
      <c r="G503" s="311"/>
      <c r="H503" s="311"/>
      <c r="I503" s="311"/>
      <c r="L503" s="311"/>
      <c r="M503" s="311"/>
      <c r="N503" s="311"/>
      <c r="Q503" s="311"/>
    </row>
    <row r="504" ht="15.75" customHeight="1">
      <c r="G504" s="311"/>
      <c r="H504" s="311"/>
      <c r="I504" s="311"/>
      <c r="L504" s="311"/>
      <c r="M504" s="311"/>
      <c r="N504" s="311"/>
      <c r="Q504" s="311"/>
    </row>
    <row r="505" ht="15.75" customHeight="1">
      <c r="G505" s="311"/>
      <c r="H505" s="311"/>
      <c r="I505" s="311"/>
      <c r="L505" s="311"/>
      <c r="M505" s="311"/>
      <c r="N505" s="311"/>
      <c r="Q505" s="311"/>
    </row>
    <row r="506" ht="15.75" customHeight="1">
      <c r="G506" s="311"/>
      <c r="H506" s="311"/>
      <c r="I506" s="311"/>
      <c r="L506" s="311"/>
      <c r="M506" s="311"/>
      <c r="N506" s="311"/>
      <c r="Q506" s="311"/>
    </row>
    <row r="507" ht="15.75" customHeight="1">
      <c r="G507" s="311"/>
      <c r="H507" s="311"/>
      <c r="I507" s="311"/>
      <c r="L507" s="311"/>
      <c r="M507" s="311"/>
      <c r="N507" s="311"/>
      <c r="Q507" s="311"/>
    </row>
    <row r="508" ht="15.75" customHeight="1">
      <c r="G508" s="311"/>
      <c r="H508" s="311"/>
      <c r="I508" s="311"/>
      <c r="L508" s="311"/>
      <c r="M508" s="311"/>
      <c r="N508" s="311"/>
      <c r="Q508" s="311"/>
    </row>
    <row r="509" ht="15.75" customHeight="1">
      <c r="G509" s="311"/>
      <c r="H509" s="311"/>
      <c r="I509" s="311"/>
      <c r="L509" s="311"/>
      <c r="M509" s="311"/>
      <c r="N509" s="311"/>
      <c r="Q509" s="311"/>
    </row>
    <row r="510" ht="15.75" customHeight="1">
      <c r="G510" s="311"/>
      <c r="H510" s="311"/>
      <c r="I510" s="311"/>
      <c r="L510" s="311"/>
      <c r="M510" s="311"/>
      <c r="N510" s="311"/>
      <c r="Q510" s="311"/>
    </row>
    <row r="511" ht="15.75" customHeight="1">
      <c r="G511" s="311"/>
      <c r="H511" s="311"/>
      <c r="I511" s="311"/>
      <c r="L511" s="311"/>
      <c r="M511" s="311"/>
      <c r="N511" s="311"/>
      <c r="Q511" s="311"/>
    </row>
    <row r="512" ht="15.75" customHeight="1">
      <c r="G512" s="311"/>
      <c r="H512" s="311"/>
      <c r="I512" s="311"/>
      <c r="L512" s="311"/>
      <c r="M512" s="311"/>
      <c r="N512" s="311"/>
      <c r="Q512" s="311"/>
    </row>
    <row r="513" ht="15.75" customHeight="1">
      <c r="G513" s="311"/>
      <c r="H513" s="311"/>
      <c r="I513" s="311"/>
      <c r="L513" s="311"/>
      <c r="M513" s="311"/>
      <c r="N513" s="311"/>
      <c r="Q513" s="311"/>
    </row>
    <row r="514" ht="15.75" customHeight="1">
      <c r="G514" s="311"/>
      <c r="H514" s="311"/>
      <c r="I514" s="311"/>
      <c r="L514" s="311"/>
      <c r="M514" s="311"/>
      <c r="N514" s="311"/>
      <c r="Q514" s="311"/>
    </row>
    <row r="515" ht="15.75" customHeight="1">
      <c r="G515" s="311"/>
      <c r="H515" s="311"/>
      <c r="I515" s="311"/>
      <c r="L515" s="311"/>
      <c r="M515" s="311"/>
      <c r="N515" s="311"/>
      <c r="Q515" s="311"/>
    </row>
    <row r="516" ht="15.75" customHeight="1">
      <c r="G516" s="311"/>
      <c r="H516" s="311"/>
      <c r="I516" s="311"/>
      <c r="L516" s="311"/>
      <c r="M516" s="311"/>
      <c r="N516" s="311"/>
      <c r="Q516" s="311"/>
    </row>
    <row r="517" ht="15.75" customHeight="1">
      <c r="G517" s="311"/>
      <c r="H517" s="311"/>
      <c r="I517" s="311"/>
      <c r="L517" s="311"/>
      <c r="M517" s="311"/>
      <c r="N517" s="311"/>
      <c r="Q517" s="311"/>
    </row>
    <row r="518" ht="15.75" customHeight="1">
      <c r="G518" s="311"/>
      <c r="H518" s="311"/>
      <c r="I518" s="311"/>
      <c r="L518" s="311"/>
      <c r="M518" s="311"/>
      <c r="N518" s="311"/>
      <c r="Q518" s="311"/>
    </row>
    <row r="519" ht="15.75" customHeight="1">
      <c r="G519" s="311"/>
      <c r="H519" s="311"/>
      <c r="I519" s="311"/>
      <c r="L519" s="311"/>
      <c r="M519" s="311"/>
      <c r="N519" s="311"/>
      <c r="Q519" s="311"/>
    </row>
    <row r="520" ht="15.75" customHeight="1">
      <c r="G520" s="311"/>
      <c r="H520" s="311"/>
      <c r="I520" s="311"/>
      <c r="L520" s="311"/>
      <c r="M520" s="311"/>
      <c r="N520" s="311"/>
      <c r="Q520" s="311"/>
    </row>
    <row r="521" ht="15.75" customHeight="1">
      <c r="G521" s="311"/>
      <c r="H521" s="311"/>
      <c r="I521" s="311"/>
      <c r="L521" s="311"/>
      <c r="M521" s="311"/>
      <c r="N521" s="311"/>
      <c r="Q521" s="311"/>
    </row>
    <row r="522" ht="15.75" customHeight="1">
      <c r="G522" s="311"/>
      <c r="H522" s="311"/>
      <c r="I522" s="311"/>
      <c r="L522" s="311"/>
      <c r="M522" s="311"/>
      <c r="N522" s="311"/>
      <c r="Q522" s="311"/>
    </row>
    <row r="523" ht="15.75" customHeight="1">
      <c r="G523" s="311"/>
      <c r="H523" s="311"/>
      <c r="I523" s="311"/>
      <c r="L523" s="311"/>
      <c r="M523" s="311"/>
      <c r="N523" s="311"/>
      <c r="Q523" s="311"/>
    </row>
    <row r="524" ht="15.75" customHeight="1">
      <c r="G524" s="311"/>
      <c r="H524" s="311"/>
      <c r="I524" s="311"/>
      <c r="L524" s="311"/>
      <c r="M524" s="311"/>
      <c r="N524" s="311"/>
      <c r="Q524" s="311"/>
    </row>
    <row r="525" ht="15.75" customHeight="1">
      <c r="G525" s="311"/>
      <c r="H525" s="311"/>
      <c r="I525" s="311"/>
      <c r="L525" s="311"/>
      <c r="M525" s="311"/>
      <c r="N525" s="311"/>
      <c r="Q525" s="311"/>
    </row>
    <row r="526" ht="15.75" customHeight="1">
      <c r="G526" s="311"/>
      <c r="H526" s="311"/>
      <c r="I526" s="311"/>
      <c r="L526" s="311"/>
      <c r="M526" s="311"/>
      <c r="N526" s="311"/>
      <c r="Q526" s="311"/>
    </row>
    <row r="527" ht="15.75" customHeight="1">
      <c r="G527" s="311"/>
      <c r="H527" s="311"/>
      <c r="I527" s="311"/>
      <c r="L527" s="311"/>
      <c r="M527" s="311"/>
      <c r="N527" s="311"/>
      <c r="Q527" s="311"/>
    </row>
    <row r="528" ht="15.75" customHeight="1">
      <c r="G528" s="311"/>
      <c r="H528" s="311"/>
      <c r="I528" s="311"/>
      <c r="L528" s="311"/>
      <c r="M528" s="311"/>
      <c r="N528" s="311"/>
      <c r="Q528" s="311"/>
    </row>
    <row r="529" ht="15.75" customHeight="1">
      <c r="G529" s="311"/>
      <c r="H529" s="311"/>
      <c r="I529" s="311"/>
      <c r="L529" s="311"/>
      <c r="M529" s="311"/>
      <c r="N529" s="311"/>
      <c r="Q529" s="311"/>
    </row>
    <row r="530" ht="15.75" customHeight="1">
      <c r="G530" s="311"/>
      <c r="H530" s="311"/>
      <c r="I530" s="311"/>
      <c r="L530" s="311"/>
      <c r="M530" s="311"/>
      <c r="N530" s="311"/>
      <c r="Q530" s="311"/>
    </row>
    <row r="531" ht="15.75" customHeight="1">
      <c r="G531" s="311"/>
      <c r="H531" s="311"/>
      <c r="I531" s="311"/>
      <c r="L531" s="311"/>
      <c r="M531" s="311"/>
      <c r="N531" s="311"/>
      <c r="Q531" s="311"/>
    </row>
    <row r="532" ht="15.75" customHeight="1">
      <c r="G532" s="311"/>
      <c r="H532" s="311"/>
      <c r="I532" s="311"/>
      <c r="L532" s="311"/>
      <c r="M532" s="311"/>
      <c r="N532" s="311"/>
      <c r="Q532" s="311"/>
    </row>
    <row r="533" ht="15.75" customHeight="1">
      <c r="G533" s="311"/>
      <c r="H533" s="311"/>
      <c r="I533" s="311"/>
      <c r="L533" s="311"/>
      <c r="M533" s="311"/>
      <c r="N533" s="311"/>
      <c r="Q533" s="311"/>
    </row>
    <row r="534" ht="15.75" customHeight="1">
      <c r="G534" s="311"/>
      <c r="H534" s="311"/>
      <c r="I534" s="311"/>
      <c r="L534" s="311"/>
      <c r="M534" s="311"/>
      <c r="N534" s="311"/>
      <c r="Q534" s="311"/>
    </row>
    <row r="535" ht="15.75" customHeight="1">
      <c r="G535" s="311"/>
      <c r="H535" s="311"/>
      <c r="I535" s="311"/>
      <c r="L535" s="311"/>
      <c r="M535" s="311"/>
      <c r="N535" s="311"/>
      <c r="Q535" s="311"/>
    </row>
    <row r="536" ht="15.75" customHeight="1">
      <c r="G536" s="311"/>
      <c r="H536" s="311"/>
      <c r="I536" s="311"/>
      <c r="L536" s="311"/>
      <c r="M536" s="311"/>
      <c r="N536" s="311"/>
      <c r="Q536" s="311"/>
    </row>
    <row r="537" ht="15.75" customHeight="1">
      <c r="G537" s="311"/>
      <c r="H537" s="311"/>
      <c r="I537" s="311"/>
      <c r="L537" s="311"/>
      <c r="M537" s="311"/>
      <c r="N537" s="311"/>
      <c r="Q537" s="311"/>
    </row>
    <row r="538" ht="15.75" customHeight="1">
      <c r="G538" s="311"/>
      <c r="H538" s="311"/>
      <c r="I538" s="311"/>
      <c r="L538" s="311"/>
      <c r="M538" s="311"/>
      <c r="N538" s="311"/>
      <c r="Q538" s="311"/>
    </row>
    <row r="539" ht="15.75" customHeight="1">
      <c r="G539" s="311"/>
      <c r="H539" s="311"/>
      <c r="I539" s="311"/>
      <c r="L539" s="311"/>
      <c r="M539" s="311"/>
      <c r="N539" s="311"/>
      <c r="Q539" s="311"/>
    </row>
    <row r="540" ht="15.75" customHeight="1">
      <c r="G540" s="311"/>
      <c r="H540" s="311"/>
      <c r="I540" s="311"/>
      <c r="L540" s="311"/>
      <c r="M540" s="311"/>
      <c r="N540" s="311"/>
      <c r="Q540" s="311"/>
    </row>
    <row r="541" ht="15.75" customHeight="1">
      <c r="G541" s="311"/>
      <c r="H541" s="311"/>
      <c r="I541" s="311"/>
      <c r="L541" s="311"/>
      <c r="M541" s="311"/>
      <c r="N541" s="311"/>
      <c r="Q541" s="311"/>
    </row>
    <row r="542" ht="15.75" customHeight="1">
      <c r="G542" s="311"/>
      <c r="H542" s="311"/>
      <c r="I542" s="311"/>
      <c r="L542" s="311"/>
      <c r="M542" s="311"/>
      <c r="N542" s="311"/>
      <c r="Q542" s="311"/>
    </row>
    <row r="543" ht="15.75" customHeight="1">
      <c r="G543" s="311"/>
      <c r="H543" s="311"/>
      <c r="I543" s="311"/>
      <c r="L543" s="311"/>
      <c r="M543" s="311"/>
      <c r="N543" s="311"/>
      <c r="Q543" s="311"/>
    </row>
    <row r="544" ht="15.75" customHeight="1">
      <c r="G544" s="311"/>
      <c r="H544" s="311"/>
      <c r="I544" s="311"/>
      <c r="L544" s="311"/>
      <c r="M544" s="311"/>
      <c r="N544" s="311"/>
      <c r="Q544" s="311"/>
    </row>
    <row r="545" ht="15.75" customHeight="1">
      <c r="G545" s="311"/>
      <c r="H545" s="311"/>
      <c r="I545" s="311"/>
      <c r="L545" s="311"/>
      <c r="M545" s="311"/>
      <c r="N545" s="311"/>
      <c r="Q545" s="311"/>
    </row>
    <row r="546" ht="15.75" customHeight="1">
      <c r="G546" s="311"/>
      <c r="H546" s="311"/>
      <c r="I546" s="311"/>
      <c r="L546" s="311"/>
      <c r="M546" s="311"/>
      <c r="N546" s="311"/>
      <c r="Q546" s="311"/>
    </row>
    <row r="547" ht="15.75" customHeight="1">
      <c r="G547" s="311"/>
      <c r="H547" s="311"/>
      <c r="I547" s="311"/>
      <c r="L547" s="311"/>
      <c r="M547" s="311"/>
      <c r="N547" s="311"/>
      <c r="Q547" s="311"/>
    </row>
    <row r="548" ht="15.75" customHeight="1">
      <c r="G548" s="311"/>
      <c r="H548" s="311"/>
      <c r="I548" s="311"/>
      <c r="L548" s="311"/>
      <c r="M548" s="311"/>
      <c r="N548" s="311"/>
      <c r="Q548" s="311"/>
    </row>
    <row r="549" ht="15.75" customHeight="1">
      <c r="G549" s="311"/>
      <c r="H549" s="311"/>
      <c r="I549" s="311"/>
      <c r="L549" s="311"/>
      <c r="M549" s="311"/>
      <c r="N549" s="311"/>
      <c r="Q549" s="311"/>
    </row>
    <row r="550" ht="15.75" customHeight="1">
      <c r="G550" s="311"/>
      <c r="H550" s="311"/>
      <c r="I550" s="311"/>
      <c r="L550" s="311"/>
      <c r="M550" s="311"/>
      <c r="N550" s="311"/>
      <c r="Q550" s="311"/>
    </row>
    <row r="551" ht="15.75" customHeight="1">
      <c r="G551" s="311"/>
      <c r="H551" s="311"/>
      <c r="I551" s="311"/>
      <c r="L551" s="311"/>
      <c r="M551" s="311"/>
      <c r="N551" s="311"/>
      <c r="Q551" s="311"/>
    </row>
    <row r="552" ht="15.75" customHeight="1">
      <c r="G552" s="311"/>
      <c r="H552" s="311"/>
      <c r="I552" s="311"/>
      <c r="L552" s="311"/>
      <c r="M552" s="311"/>
      <c r="N552" s="311"/>
      <c r="Q552" s="311"/>
    </row>
    <row r="553" ht="15.75" customHeight="1">
      <c r="G553" s="311"/>
      <c r="H553" s="311"/>
      <c r="I553" s="311"/>
      <c r="L553" s="311"/>
      <c r="M553" s="311"/>
      <c r="N553" s="311"/>
      <c r="Q553" s="311"/>
    </row>
    <row r="554" ht="15.75" customHeight="1">
      <c r="G554" s="311"/>
      <c r="H554" s="311"/>
      <c r="I554" s="311"/>
      <c r="L554" s="311"/>
      <c r="M554" s="311"/>
      <c r="N554" s="311"/>
      <c r="Q554" s="311"/>
    </row>
    <row r="555" ht="15.75" customHeight="1">
      <c r="G555" s="311"/>
      <c r="H555" s="311"/>
      <c r="I555" s="311"/>
      <c r="L555" s="311"/>
      <c r="M555" s="311"/>
      <c r="N555" s="311"/>
      <c r="Q555" s="311"/>
    </row>
    <row r="556" ht="15.75" customHeight="1">
      <c r="G556" s="311"/>
      <c r="H556" s="311"/>
      <c r="I556" s="311"/>
      <c r="L556" s="311"/>
      <c r="M556" s="311"/>
      <c r="N556" s="311"/>
      <c r="Q556" s="311"/>
    </row>
    <row r="557" ht="15.75" customHeight="1">
      <c r="G557" s="311"/>
      <c r="H557" s="311"/>
      <c r="I557" s="311"/>
      <c r="L557" s="311"/>
      <c r="M557" s="311"/>
      <c r="N557" s="311"/>
      <c r="Q557" s="311"/>
    </row>
    <row r="558" ht="15.75" customHeight="1">
      <c r="G558" s="311"/>
      <c r="H558" s="311"/>
      <c r="I558" s="311"/>
      <c r="L558" s="311"/>
      <c r="M558" s="311"/>
      <c r="N558" s="311"/>
      <c r="Q558" s="311"/>
    </row>
    <row r="559" ht="15.75" customHeight="1">
      <c r="G559" s="311"/>
      <c r="H559" s="311"/>
      <c r="I559" s="311"/>
      <c r="L559" s="311"/>
      <c r="M559" s="311"/>
      <c r="N559" s="311"/>
      <c r="Q559" s="311"/>
    </row>
    <row r="560" ht="15.75" customHeight="1">
      <c r="G560" s="311"/>
      <c r="H560" s="311"/>
      <c r="I560" s="311"/>
      <c r="L560" s="311"/>
      <c r="M560" s="311"/>
      <c r="N560" s="311"/>
      <c r="Q560" s="311"/>
    </row>
    <row r="561" ht="15.75" customHeight="1">
      <c r="G561" s="311"/>
      <c r="H561" s="311"/>
      <c r="I561" s="311"/>
      <c r="L561" s="311"/>
      <c r="M561" s="311"/>
      <c r="N561" s="311"/>
      <c r="Q561" s="311"/>
    </row>
    <row r="562" ht="15.75" customHeight="1">
      <c r="G562" s="311"/>
      <c r="H562" s="311"/>
      <c r="I562" s="311"/>
      <c r="L562" s="311"/>
      <c r="M562" s="311"/>
      <c r="N562" s="311"/>
      <c r="Q562" s="311"/>
    </row>
    <row r="563" ht="15.75" customHeight="1">
      <c r="G563" s="311"/>
      <c r="H563" s="311"/>
      <c r="I563" s="311"/>
      <c r="L563" s="311"/>
      <c r="M563" s="311"/>
      <c r="N563" s="311"/>
      <c r="Q563" s="311"/>
    </row>
    <row r="564" ht="15.75" customHeight="1">
      <c r="G564" s="311"/>
      <c r="H564" s="311"/>
      <c r="I564" s="311"/>
      <c r="L564" s="311"/>
      <c r="M564" s="311"/>
      <c r="N564" s="311"/>
      <c r="Q564" s="311"/>
    </row>
    <row r="565" ht="15.75" customHeight="1">
      <c r="G565" s="311"/>
      <c r="H565" s="311"/>
      <c r="I565" s="311"/>
      <c r="L565" s="311"/>
      <c r="M565" s="311"/>
      <c r="N565" s="311"/>
      <c r="Q565" s="311"/>
    </row>
    <row r="566" ht="15.75" customHeight="1">
      <c r="G566" s="311"/>
      <c r="H566" s="311"/>
      <c r="I566" s="311"/>
      <c r="L566" s="311"/>
      <c r="M566" s="311"/>
      <c r="N566" s="311"/>
      <c r="Q566" s="311"/>
    </row>
    <row r="567" ht="15.75" customHeight="1">
      <c r="G567" s="311"/>
      <c r="H567" s="311"/>
      <c r="I567" s="311"/>
      <c r="L567" s="311"/>
      <c r="M567" s="311"/>
      <c r="N567" s="311"/>
      <c r="Q567" s="311"/>
    </row>
    <row r="568" ht="15.75" customHeight="1">
      <c r="G568" s="311"/>
      <c r="H568" s="311"/>
      <c r="I568" s="311"/>
      <c r="L568" s="311"/>
      <c r="M568" s="311"/>
      <c r="N568" s="311"/>
      <c r="Q568" s="311"/>
    </row>
    <row r="569" ht="15.75" customHeight="1">
      <c r="G569" s="311"/>
      <c r="H569" s="311"/>
      <c r="I569" s="311"/>
      <c r="L569" s="311"/>
      <c r="M569" s="311"/>
      <c r="N569" s="311"/>
      <c r="Q569" s="311"/>
    </row>
    <row r="570" ht="15.75" customHeight="1">
      <c r="G570" s="311"/>
      <c r="H570" s="311"/>
      <c r="I570" s="311"/>
      <c r="L570" s="311"/>
      <c r="M570" s="311"/>
      <c r="N570" s="311"/>
      <c r="Q570" s="311"/>
    </row>
    <row r="571" ht="15.75" customHeight="1">
      <c r="G571" s="311"/>
      <c r="H571" s="311"/>
      <c r="I571" s="311"/>
      <c r="L571" s="311"/>
      <c r="M571" s="311"/>
      <c r="N571" s="311"/>
      <c r="Q571" s="311"/>
    </row>
    <row r="572" ht="15.75" customHeight="1">
      <c r="G572" s="311"/>
      <c r="H572" s="311"/>
      <c r="I572" s="311"/>
      <c r="L572" s="311"/>
      <c r="M572" s="311"/>
      <c r="N572" s="311"/>
      <c r="Q572" s="311"/>
    </row>
    <row r="573" ht="15.75" customHeight="1">
      <c r="G573" s="311"/>
      <c r="H573" s="311"/>
      <c r="I573" s="311"/>
      <c r="L573" s="311"/>
      <c r="M573" s="311"/>
      <c r="N573" s="311"/>
      <c r="Q573" s="311"/>
    </row>
    <row r="574" ht="15.75" customHeight="1">
      <c r="G574" s="311"/>
      <c r="H574" s="311"/>
      <c r="I574" s="311"/>
      <c r="L574" s="311"/>
      <c r="M574" s="311"/>
      <c r="N574" s="311"/>
      <c r="Q574" s="311"/>
    </row>
    <row r="575" ht="15.75" customHeight="1">
      <c r="G575" s="311"/>
      <c r="H575" s="311"/>
      <c r="I575" s="311"/>
      <c r="L575" s="311"/>
      <c r="M575" s="311"/>
      <c r="N575" s="311"/>
      <c r="Q575" s="311"/>
    </row>
    <row r="576" ht="15.75" customHeight="1">
      <c r="G576" s="311"/>
      <c r="H576" s="311"/>
      <c r="I576" s="311"/>
      <c r="L576" s="311"/>
      <c r="M576" s="311"/>
      <c r="N576" s="311"/>
      <c r="Q576" s="311"/>
    </row>
    <row r="577" ht="15.75" customHeight="1">
      <c r="G577" s="311"/>
      <c r="H577" s="311"/>
      <c r="I577" s="311"/>
      <c r="L577" s="311"/>
      <c r="M577" s="311"/>
      <c r="N577" s="311"/>
      <c r="Q577" s="311"/>
    </row>
    <row r="578" ht="15.75" customHeight="1">
      <c r="G578" s="311"/>
      <c r="H578" s="311"/>
      <c r="I578" s="311"/>
      <c r="L578" s="311"/>
      <c r="M578" s="311"/>
      <c r="N578" s="311"/>
      <c r="Q578" s="311"/>
    </row>
    <row r="579" ht="15.75" customHeight="1">
      <c r="G579" s="311"/>
      <c r="H579" s="311"/>
      <c r="I579" s="311"/>
      <c r="L579" s="311"/>
      <c r="M579" s="311"/>
      <c r="N579" s="311"/>
      <c r="Q579" s="311"/>
    </row>
    <row r="580" ht="15.75" customHeight="1">
      <c r="G580" s="311"/>
      <c r="H580" s="311"/>
      <c r="I580" s="311"/>
      <c r="L580" s="311"/>
      <c r="M580" s="311"/>
      <c r="N580" s="311"/>
      <c r="Q580" s="311"/>
    </row>
    <row r="581" ht="15.75" customHeight="1">
      <c r="G581" s="311"/>
      <c r="H581" s="311"/>
      <c r="I581" s="311"/>
      <c r="L581" s="311"/>
      <c r="M581" s="311"/>
      <c r="N581" s="311"/>
      <c r="Q581" s="311"/>
    </row>
    <row r="582" ht="15.75" customHeight="1">
      <c r="G582" s="311"/>
      <c r="H582" s="311"/>
      <c r="I582" s="311"/>
      <c r="L582" s="311"/>
      <c r="M582" s="311"/>
      <c r="N582" s="311"/>
      <c r="Q582" s="311"/>
    </row>
    <row r="583" ht="15.75" customHeight="1">
      <c r="G583" s="311"/>
      <c r="H583" s="311"/>
      <c r="I583" s="311"/>
      <c r="L583" s="311"/>
      <c r="M583" s="311"/>
      <c r="N583" s="311"/>
      <c r="Q583" s="311"/>
    </row>
    <row r="584" ht="15.75" customHeight="1">
      <c r="G584" s="311"/>
      <c r="H584" s="311"/>
      <c r="I584" s="311"/>
      <c r="L584" s="311"/>
      <c r="M584" s="311"/>
      <c r="N584" s="311"/>
      <c r="Q584" s="311"/>
    </row>
    <row r="585" ht="15.75" customHeight="1">
      <c r="G585" s="311"/>
      <c r="H585" s="311"/>
      <c r="I585" s="311"/>
      <c r="L585" s="311"/>
      <c r="M585" s="311"/>
      <c r="N585" s="311"/>
      <c r="Q585" s="311"/>
    </row>
    <row r="586" ht="15.75" customHeight="1">
      <c r="G586" s="311"/>
      <c r="H586" s="311"/>
      <c r="I586" s="311"/>
      <c r="L586" s="311"/>
      <c r="M586" s="311"/>
      <c r="N586" s="311"/>
      <c r="Q586" s="311"/>
    </row>
    <row r="587" ht="15.75" customHeight="1">
      <c r="G587" s="311"/>
      <c r="H587" s="311"/>
      <c r="I587" s="311"/>
      <c r="L587" s="311"/>
      <c r="M587" s="311"/>
      <c r="N587" s="311"/>
      <c r="Q587" s="311"/>
    </row>
    <row r="588" ht="15.75" customHeight="1">
      <c r="G588" s="311"/>
      <c r="H588" s="311"/>
      <c r="I588" s="311"/>
      <c r="L588" s="311"/>
      <c r="M588" s="311"/>
      <c r="N588" s="311"/>
      <c r="Q588" s="311"/>
    </row>
    <row r="589" ht="15.75" customHeight="1">
      <c r="G589" s="311"/>
      <c r="H589" s="311"/>
      <c r="I589" s="311"/>
      <c r="L589" s="311"/>
      <c r="M589" s="311"/>
      <c r="N589" s="311"/>
      <c r="Q589" s="311"/>
    </row>
    <row r="590" ht="15.75" customHeight="1">
      <c r="G590" s="311"/>
      <c r="H590" s="311"/>
      <c r="I590" s="311"/>
      <c r="L590" s="311"/>
      <c r="M590" s="311"/>
      <c r="N590" s="311"/>
      <c r="Q590" s="311"/>
    </row>
    <row r="591" ht="15.75" customHeight="1">
      <c r="G591" s="311"/>
      <c r="H591" s="311"/>
      <c r="I591" s="311"/>
      <c r="L591" s="311"/>
      <c r="M591" s="311"/>
      <c r="N591" s="311"/>
      <c r="Q591" s="311"/>
    </row>
    <row r="592" ht="15.75" customHeight="1">
      <c r="G592" s="311"/>
      <c r="H592" s="311"/>
      <c r="I592" s="311"/>
      <c r="L592" s="311"/>
      <c r="M592" s="311"/>
      <c r="N592" s="311"/>
      <c r="Q592" s="311"/>
    </row>
    <row r="593" ht="15.75" customHeight="1">
      <c r="G593" s="311"/>
      <c r="H593" s="311"/>
      <c r="I593" s="311"/>
      <c r="L593" s="311"/>
      <c r="M593" s="311"/>
      <c r="N593" s="311"/>
      <c r="Q593" s="311"/>
    </row>
    <row r="594" ht="15.75" customHeight="1">
      <c r="G594" s="311"/>
      <c r="H594" s="311"/>
      <c r="I594" s="311"/>
      <c r="L594" s="311"/>
      <c r="M594" s="311"/>
      <c r="N594" s="311"/>
      <c r="Q594" s="311"/>
    </row>
    <row r="595" ht="15.75" customHeight="1">
      <c r="G595" s="311"/>
      <c r="H595" s="311"/>
      <c r="I595" s="311"/>
      <c r="L595" s="311"/>
      <c r="M595" s="311"/>
      <c r="N595" s="311"/>
      <c r="Q595" s="311"/>
    </row>
    <row r="596" ht="15.75" customHeight="1">
      <c r="G596" s="311"/>
      <c r="H596" s="311"/>
      <c r="I596" s="311"/>
      <c r="L596" s="311"/>
      <c r="M596" s="311"/>
      <c r="N596" s="311"/>
      <c r="Q596" s="311"/>
    </row>
    <row r="597" ht="15.75" customHeight="1">
      <c r="G597" s="311"/>
      <c r="H597" s="311"/>
      <c r="I597" s="311"/>
      <c r="L597" s="311"/>
      <c r="M597" s="311"/>
      <c r="N597" s="311"/>
      <c r="Q597" s="311"/>
    </row>
    <row r="598" ht="15.75" customHeight="1">
      <c r="G598" s="311"/>
      <c r="H598" s="311"/>
      <c r="I598" s="311"/>
      <c r="L598" s="311"/>
      <c r="M598" s="311"/>
      <c r="N598" s="311"/>
      <c r="Q598" s="311"/>
    </row>
    <row r="599" ht="15.75" customHeight="1">
      <c r="G599" s="311"/>
      <c r="H599" s="311"/>
      <c r="I599" s="311"/>
      <c r="L599" s="311"/>
      <c r="M599" s="311"/>
      <c r="N599" s="311"/>
      <c r="Q599" s="311"/>
    </row>
    <row r="600" ht="15.75" customHeight="1">
      <c r="G600" s="311"/>
      <c r="H600" s="311"/>
      <c r="I600" s="311"/>
      <c r="L600" s="311"/>
      <c r="M600" s="311"/>
      <c r="N600" s="311"/>
      <c r="Q600" s="311"/>
    </row>
    <row r="601" ht="15.75" customHeight="1">
      <c r="G601" s="311"/>
      <c r="H601" s="311"/>
      <c r="I601" s="311"/>
      <c r="L601" s="311"/>
      <c r="M601" s="311"/>
      <c r="N601" s="311"/>
      <c r="Q601" s="311"/>
    </row>
    <row r="602" ht="15.75" customHeight="1">
      <c r="G602" s="311"/>
      <c r="H602" s="311"/>
      <c r="I602" s="311"/>
      <c r="L602" s="311"/>
      <c r="M602" s="311"/>
      <c r="N602" s="311"/>
      <c r="Q602" s="311"/>
    </row>
    <row r="603" ht="15.75" customHeight="1">
      <c r="G603" s="311"/>
      <c r="H603" s="311"/>
      <c r="I603" s="311"/>
      <c r="L603" s="311"/>
      <c r="M603" s="311"/>
      <c r="N603" s="311"/>
      <c r="Q603" s="311"/>
    </row>
    <row r="604" ht="15.75" customHeight="1">
      <c r="G604" s="311"/>
      <c r="H604" s="311"/>
      <c r="I604" s="311"/>
      <c r="L604" s="311"/>
      <c r="M604" s="311"/>
      <c r="N604" s="311"/>
      <c r="Q604" s="311"/>
    </row>
    <row r="605" ht="15.75" customHeight="1">
      <c r="G605" s="311"/>
      <c r="H605" s="311"/>
      <c r="I605" s="311"/>
      <c r="L605" s="311"/>
      <c r="M605" s="311"/>
      <c r="N605" s="311"/>
      <c r="Q605" s="311"/>
    </row>
    <row r="606" ht="15.75" customHeight="1">
      <c r="G606" s="311"/>
      <c r="H606" s="311"/>
      <c r="I606" s="311"/>
      <c r="L606" s="311"/>
      <c r="M606" s="311"/>
      <c r="N606" s="311"/>
      <c r="Q606" s="311"/>
    </row>
    <row r="607" ht="15.75" customHeight="1">
      <c r="G607" s="311"/>
      <c r="H607" s="311"/>
      <c r="I607" s="311"/>
      <c r="L607" s="311"/>
      <c r="M607" s="311"/>
      <c r="N607" s="311"/>
      <c r="Q607" s="311"/>
    </row>
    <row r="608" ht="15.75" customHeight="1">
      <c r="G608" s="311"/>
      <c r="H608" s="311"/>
      <c r="I608" s="311"/>
      <c r="L608" s="311"/>
      <c r="M608" s="311"/>
      <c r="N608" s="311"/>
      <c r="Q608" s="311"/>
    </row>
    <row r="609" ht="15.75" customHeight="1">
      <c r="G609" s="311"/>
      <c r="H609" s="311"/>
      <c r="I609" s="311"/>
      <c r="L609" s="311"/>
      <c r="M609" s="311"/>
      <c r="N609" s="311"/>
      <c r="Q609" s="311"/>
    </row>
    <row r="610" ht="15.75" customHeight="1">
      <c r="G610" s="311"/>
      <c r="H610" s="311"/>
      <c r="I610" s="311"/>
      <c r="L610" s="311"/>
      <c r="M610" s="311"/>
      <c r="N610" s="311"/>
      <c r="Q610" s="311"/>
    </row>
    <row r="611" ht="15.75" customHeight="1">
      <c r="G611" s="311"/>
      <c r="H611" s="311"/>
      <c r="I611" s="311"/>
      <c r="L611" s="311"/>
      <c r="M611" s="311"/>
      <c r="N611" s="311"/>
      <c r="Q611" s="311"/>
    </row>
    <row r="612" ht="15.75" customHeight="1">
      <c r="G612" s="311"/>
      <c r="H612" s="311"/>
      <c r="I612" s="311"/>
      <c r="L612" s="311"/>
      <c r="M612" s="311"/>
      <c r="N612" s="311"/>
      <c r="Q612" s="311"/>
    </row>
    <row r="613" ht="15.75" customHeight="1">
      <c r="G613" s="311"/>
      <c r="H613" s="311"/>
      <c r="I613" s="311"/>
      <c r="L613" s="311"/>
      <c r="M613" s="311"/>
      <c r="N613" s="311"/>
      <c r="Q613" s="311"/>
    </row>
    <row r="614" ht="15.75" customHeight="1">
      <c r="G614" s="311"/>
      <c r="H614" s="311"/>
      <c r="I614" s="311"/>
      <c r="L614" s="311"/>
      <c r="M614" s="311"/>
      <c r="N614" s="311"/>
      <c r="Q614" s="311"/>
    </row>
    <row r="615" ht="15.75" customHeight="1">
      <c r="G615" s="311"/>
      <c r="H615" s="311"/>
      <c r="I615" s="311"/>
      <c r="L615" s="311"/>
      <c r="M615" s="311"/>
      <c r="N615" s="311"/>
      <c r="Q615" s="311"/>
    </row>
    <row r="616" ht="15.75" customHeight="1">
      <c r="G616" s="311"/>
      <c r="H616" s="311"/>
      <c r="I616" s="311"/>
      <c r="L616" s="311"/>
      <c r="M616" s="311"/>
      <c r="N616" s="311"/>
      <c r="Q616" s="311"/>
    </row>
    <row r="617" ht="15.75" customHeight="1">
      <c r="G617" s="311"/>
      <c r="H617" s="311"/>
      <c r="I617" s="311"/>
      <c r="L617" s="311"/>
      <c r="M617" s="311"/>
      <c r="N617" s="311"/>
      <c r="Q617" s="311"/>
    </row>
    <row r="618" ht="15.75" customHeight="1">
      <c r="G618" s="311"/>
      <c r="H618" s="311"/>
      <c r="I618" s="311"/>
      <c r="L618" s="311"/>
      <c r="M618" s="311"/>
      <c r="N618" s="311"/>
      <c r="Q618" s="311"/>
    </row>
    <row r="619" ht="15.75" customHeight="1">
      <c r="G619" s="311"/>
      <c r="H619" s="311"/>
      <c r="I619" s="311"/>
      <c r="L619" s="311"/>
      <c r="M619" s="311"/>
      <c r="N619" s="311"/>
      <c r="Q619" s="311"/>
    </row>
    <row r="620" ht="15.75" customHeight="1">
      <c r="G620" s="311"/>
      <c r="H620" s="311"/>
      <c r="I620" s="311"/>
      <c r="L620" s="311"/>
      <c r="M620" s="311"/>
      <c r="N620" s="311"/>
      <c r="Q620" s="311"/>
    </row>
    <row r="621" ht="15.75" customHeight="1">
      <c r="G621" s="311"/>
      <c r="H621" s="311"/>
      <c r="I621" s="311"/>
      <c r="L621" s="311"/>
      <c r="M621" s="311"/>
      <c r="N621" s="311"/>
      <c r="Q621" s="311"/>
    </row>
    <row r="622" ht="15.75" customHeight="1">
      <c r="G622" s="311"/>
      <c r="H622" s="311"/>
      <c r="I622" s="311"/>
      <c r="L622" s="311"/>
      <c r="M622" s="311"/>
      <c r="N622" s="311"/>
      <c r="Q622" s="311"/>
    </row>
    <row r="623" ht="15.75" customHeight="1">
      <c r="G623" s="311"/>
      <c r="H623" s="311"/>
      <c r="I623" s="311"/>
      <c r="L623" s="311"/>
      <c r="M623" s="311"/>
      <c r="N623" s="311"/>
      <c r="Q623" s="311"/>
    </row>
    <row r="624" ht="15.75" customHeight="1">
      <c r="G624" s="311"/>
      <c r="H624" s="311"/>
      <c r="I624" s="311"/>
      <c r="L624" s="311"/>
      <c r="M624" s="311"/>
      <c r="N624" s="311"/>
      <c r="Q624" s="311"/>
    </row>
    <row r="625" ht="15.75" customHeight="1">
      <c r="G625" s="311"/>
      <c r="H625" s="311"/>
      <c r="I625" s="311"/>
      <c r="L625" s="311"/>
      <c r="M625" s="311"/>
      <c r="N625" s="311"/>
      <c r="Q625" s="311"/>
    </row>
    <row r="626" ht="15.75" customHeight="1">
      <c r="G626" s="311"/>
      <c r="H626" s="311"/>
      <c r="I626" s="311"/>
      <c r="L626" s="311"/>
      <c r="M626" s="311"/>
      <c r="N626" s="311"/>
      <c r="Q626" s="311"/>
    </row>
    <row r="627" ht="15.75" customHeight="1">
      <c r="G627" s="311"/>
      <c r="H627" s="311"/>
      <c r="I627" s="311"/>
      <c r="L627" s="311"/>
      <c r="M627" s="311"/>
      <c r="N627" s="311"/>
      <c r="Q627" s="311"/>
    </row>
    <row r="628" ht="15.75" customHeight="1">
      <c r="G628" s="311"/>
      <c r="H628" s="311"/>
      <c r="I628" s="311"/>
      <c r="L628" s="311"/>
      <c r="M628" s="311"/>
      <c r="N628" s="311"/>
      <c r="Q628" s="311"/>
    </row>
    <row r="629" ht="15.75" customHeight="1">
      <c r="G629" s="311"/>
      <c r="H629" s="311"/>
      <c r="I629" s="311"/>
      <c r="L629" s="311"/>
      <c r="M629" s="311"/>
      <c r="N629" s="311"/>
      <c r="Q629" s="311"/>
    </row>
    <row r="630" ht="15.75" customHeight="1">
      <c r="G630" s="311"/>
      <c r="H630" s="311"/>
      <c r="I630" s="311"/>
      <c r="L630" s="311"/>
      <c r="M630" s="311"/>
      <c r="N630" s="311"/>
      <c r="Q630" s="311"/>
    </row>
    <row r="631" ht="15.75" customHeight="1">
      <c r="G631" s="311"/>
      <c r="H631" s="311"/>
      <c r="I631" s="311"/>
      <c r="L631" s="311"/>
      <c r="M631" s="311"/>
      <c r="N631" s="311"/>
      <c r="Q631" s="311"/>
    </row>
    <row r="632" ht="15.75" customHeight="1">
      <c r="G632" s="311"/>
      <c r="H632" s="311"/>
      <c r="I632" s="311"/>
      <c r="L632" s="311"/>
      <c r="M632" s="311"/>
      <c r="N632" s="311"/>
      <c r="Q632" s="311"/>
    </row>
    <row r="633" ht="15.75" customHeight="1">
      <c r="G633" s="311"/>
      <c r="H633" s="311"/>
      <c r="I633" s="311"/>
      <c r="L633" s="311"/>
      <c r="M633" s="311"/>
      <c r="N633" s="311"/>
      <c r="Q633" s="311"/>
    </row>
    <row r="634" ht="15.75" customHeight="1">
      <c r="G634" s="311"/>
      <c r="H634" s="311"/>
      <c r="I634" s="311"/>
      <c r="L634" s="311"/>
      <c r="M634" s="311"/>
      <c r="N634" s="311"/>
      <c r="Q634" s="311"/>
    </row>
    <row r="635" ht="15.75" customHeight="1">
      <c r="G635" s="311"/>
      <c r="H635" s="311"/>
      <c r="I635" s="311"/>
      <c r="L635" s="311"/>
      <c r="M635" s="311"/>
      <c r="N635" s="311"/>
      <c r="Q635" s="311"/>
    </row>
    <row r="636" ht="15.75" customHeight="1">
      <c r="G636" s="311"/>
      <c r="H636" s="311"/>
      <c r="I636" s="311"/>
      <c r="L636" s="311"/>
      <c r="M636" s="311"/>
      <c r="N636" s="311"/>
      <c r="Q636" s="311"/>
    </row>
    <row r="637" ht="15.75" customHeight="1">
      <c r="G637" s="311"/>
      <c r="H637" s="311"/>
      <c r="I637" s="311"/>
      <c r="L637" s="311"/>
      <c r="M637" s="311"/>
      <c r="N637" s="311"/>
      <c r="Q637" s="311"/>
    </row>
    <row r="638" ht="15.75" customHeight="1">
      <c r="G638" s="311"/>
      <c r="H638" s="311"/>
      <c r="I638" s="311"/>
      <c r="L638" s="311"/>
      <c r="M638" s="311"/>
      <c r="N638" s="311"/>
      <c r="Q638" s="311"/>
    </row>
    <row r="639" ht="15.75" customHeight="1">
      <c r="G639" s="311"/>
      <c r="H639" s="311"/>
      <c r="I639" s="311"/>
      <c r="L639" s="311"/>
      <c r="M639" s="311"/>
      <c r="N639" s="311"/>
      <c r="Q639" s="311"/>
    </row>
    <row r="640" ht="15.75" customHeight="1">
      <c r="G640" s="311"/>
      <c r="H640" s="311"/>
      <c r="I640" s="311"/>
      <c r="L640" s="311"/>
      <c r="M640" s="311"/>
      <c r="N640" s="311"/>
      <c r="Q640" s="311"/>
    </row>
    <row r="641" ht="15.75" customHeight="1">
      <c r="G641" s="311"/>
      <c r="H641" s="311"/>
      <c r="I641" s="311"/>
      <c r="L641" s="311"/>
      <c r="M641" s="311"/>
      <c r="N641" s="311"/>
      <c r="Q641" s="311"/>
    </row>
    <row r="642" ht="15.75" customHeight="1">
      <c r="G642" s="311"/>
      <c r="H642" s="311"/>
      <c r="I642" s="311"/>
      <c r="L642" s="311"/>
      <c r="M642" s="311"/>
      <c r="N642" s="311"/>
      <c r="Q642" s="311"/>
    </row>
    <row r="643" ht="15.75" customHeight="1">
      <c r="G643" s="311"/>
      <c r="H643" s="311"/>
      <c r="I643" s="311"/>
      <c r="L643" s="311"/>
      <c r="M643" s="311"/>
      <c r="N643" s="311"/>
      <c r="Q643" s="311"/>
    </row>
    <row r="644" ht="15.75" customHeight="1">
      <c r="G644" s="311"/>
      <c r="H644" s="311"/>
      <c r="I644" s="311"/>
      <c r="L644" s="311"/>
      <c r="M644" s="311"/>
      <c r="N644" s="311"/>
      <c r="Q644" s="311"/>
    </row>
    <row r="645" ht="15.75" customHeight="1">
      <c r="G645" s="311"/>
      <c r="H645" s="311"/>
      <c r="I645" s="311"/>
      <c r="L645" s="311"/>
      <c r="M645" s="311"/>
      <c r="N645" s="311"/>
      <c r="Q645" s="311"/>
    </row>
    <row r="646" ht="15.75" customHeight="1">
      <c r="G646" s="311"/>
      <c r="H646" s="311"/>
      <c r="I646" s="311"/>
      <c r="L646" s="311"/>
      <c r="M646" s="311"/>
      <c r="N646" s="311"/>
      <c r="Q646" s="311"/>
    </row>
    <row r="647" ht="15.75" customHeight="1">
      <c r="G647" s="311"/>
      <c r="H647" s="311"/>
      <c r="I647" s="311"/>
      <c r="L647" s="311"/>
      <c r="M647" s="311"/>
      <c r="N647" s="311"/>
      <c r="Q647" s="311"/>
    </row>
    <row r="648" ht="15.75" customHeight="1">
      <c r="G648" s="311"/>
      <c r="H648" s="311"/>
      <c r="I648" s="311"/>
      <c r="L648" s="311"/>
      <c r="M648" s="311"/>
      <c r="N648" s="311"/>
      <c r="Q648" s="311"/>
    </row>
    <row r="649" ht="15.75" customHeight="1">
      <c r="G649" s="311"/>
      <c r="H649" s="311"/>
      <c r="I649" s="311"/>
      <c r="L649" s="311"/>
      <c r="M649" s="311"/>
      <c r="N649" s="311"/>
      <c r="Q649" s="311"/>
    </row>
    <row r="650" ht="15.75" customHeight="1">
      <c r="G650" s="311"/>
      <c r="H650" s="311"/>
      <c r="I650" s="311"/>
      <c r="L650" s="311"/>
      <c r="M650" s="311"/>
      <c r="N650" s="311"/>
      <c r="Q650" s="311"/>
    </row>
    <row r="651" ht="15.75" customHeight="1">
      <c r="G651" s="311"/>
      <c r="H651" s="311"/>
      <c r="I651" s="311"/>
      <c r="L651" s="311"/>
      <c r="M651" s="311"/>
      <c r="N651" s="311"/>
      <c r="Q651" s="311"/>
    </row>
    <row r="652" ht="15.75" customHeight="1">
      <c r="G652" s="311"/>
      <c r="H652" s="311"/>
      <c r="I652" s="311"/>
      <c r="L652" s="311"/>
      <c r="M652" s="311"/>
      <c r="N652" s="311"/>
      <c r="Q652" s="311"/>
    </row>
    <row r="653" ht="15.75" customHeight="1">
      <c r="G653" s="311"/>
      <c r="H653" s="311"/>
      <c r="I653" s="311"/>
      <c r="L653" s="311"/>
      <c r="M653" s="311"/>
      <c r="N653" s="311"/>
      <c r="Q653" s="311"/>
    </row>
    <row r="654" ht="15.75" customHeight="1">
      <c r="G654" s="311"/>
      <c r="H654" s="311"/>
      <c r="I654" s="311"/>
      <c r="L654" s="311"/>
      <c r="M654" s="311"/>
      <c r="N654" s="311"/>
      <c r="Q654" s="311"/>
    </row>
    <row r="655" ht="15.75" customHeight="1">
      <c r="G655" s="311"/>
      <c r="H655" s="311"/>
      <c r="I655" s="311"/>
      <c r="L655" s="311"/>
      <c r="M655" s="311"/>
      <c r="N655" s="311"/>
      <c r="Q655" s="311"/>
    </row>
    <row r="656" ht="15.75" customHeight="1">
      <c r="G656" s="311"/>
      <c r="H656" s="311"/>
      <c r="I656" s="311"/>
      <c r="L656" s="311"/>
      <c r="M656" s="311"/>
      <c r="N656" s="311"/>
      <c r="Q656" s="311"/>
    </row>
    <row r="657" ht="15.75" customHeight="1">
      <c r="G657" s="311"/>
      <c r="H657" s="311"/>
      <c r="I657" s="311"/>
      <c r="L657" s="311"/>
      <c r="M657" s="311"/>
      <c r="N657" s="311"/>
      <c r="Q657" s="311"/>
    </row>
    <row r="658" ht="15.75" customHeight="1">
      <c r="G658" s="311"/>
      <c r="H658" s="311"/>
      <c r="I658" s="311"/>
      <c r="L658" s="311"/>
      <c r="M658" s="311"/>
      <c r="N658" s="311"/>
      <c r="Q658" s="311"/>
    </row>
    <row r="659" ht="15.75" customHeight="1">
      <c r="G659" s="311"/>
      <c r="H659" s="311"/>
      <c r="I659" s="311"/>
      <c r="L659" s="311"/>
      <c r="M659" s="311"/>
      <c r="N659" s="311"/>
      <c r="Q659" s="311"/>
    </row>
    <row r="660" ht="15.75" customHeight="1">
      <c r="G660" s="311"/>
      <c r="H660" s="311"/>
      <c r="I660" s="311"/>
      <c r="L660" s="311"/>
      <c r="M660" s="311"/>
      <c r="N660" s="311"/>
      <c r="Q660" s="311"/>
    </row>
    <row r="661" ht="15.75" customHeight="1">
      <c r="G661" s="311"/>
      <c r="H661" s="311"/>
      <c r="I661" s="311"/>
      <c r="L661" s="311"/>
      <c r="M661" s="311"/>
      <c r="N661" s="311"/>
      <c r="Q661" s="311"/>
    </row>
    <row r="662" ht="15.75" customHeight="1">
      <c r="G662" s="311"/>
      <c r="H662" s="311"/>
      <c r="I662" s="311"/>
      <c r="L662" s="311"/>
      <c r="M662" s="311"/>
      <c r="N662" s="311"/>
      <c r="Q662" s="311"/>
    </row>
    <row r="663" ht="15.75" customHeight="1">
      <c r="G663" s="311"/>
      <c r="H663" s="311"/>
      <c r="I663" s="311"/>
      <c r="L663" s="311"/>
      <c r="M663" s="311"/>
      <c r="N663" s="311"/>
      <c r="Q663" s="311"/>
    </row>
    <row r="664" ht="15.75" customHeight="1">
      <c r="G664" s="311"/>
      <c r="H664" s="311"/>
      <c r="I664" s="311"/>
      <c r="L664" s="311"/>
      <c r="M664" s="311"/>
      <c r="N664" s="311"/>
      <c r="Q664" s="311"/>
    </row>
    <row r="665" ht="15.75" customHeight="1">
      <c r="G665" s="311"/>
      <c r="H665" s="311"/>
      <c r="I665" s="311"/>
      <c r="L665" s="311"/>
      <c r="M665" s="311"/>
      <c r="N665" s="311"/>
      <c r="Q665" s="311"/>
    </row>
    <row r="666" ht="15.75" customHeight="1">
      <c r="G666" s="311"/>
      <c r="H666" s="311"/>
      <c r="I666" s="311"/>
      <c r="L666" s="311"/>
      <c r="M666" s="311"/>
      <c r="N666" s="311"/>
      <c r="Q666" s="311"/>
    </row>
    <row r="667" ht="15.75" customHeight="1">
      <c r="G667" s="311"/>
      <c r="H667" s="311"/>
      <c r="I667" s="311"/>
      <c r="L667" s="311"/>
      <c r="M667" s="311"/>
      <c r="N667" s="311"/>
      <c r="Q667" s="311"/>
    </row>
    <row r="668" ht="15.75" customHeight="1">
      <c r="G668" s="311"/>
      <c r="H668" s="311"/>
      <c r="I668" s="311"/>
      <c r="L668" s="311"/>
      <c r="M668" s="311"/>
      <c r="N668" s="311"/>
      <c r="Q668" s="311"/>
    </row>
    <row r="669" ht="15.75" customHeight="1">
      <c r="G669" s="311"/>
      <c r="H669" s="311"/>
      <c r="I669" s="311"/>
      <c r="L669" s="311"/>
      <c r="M669" s="311"/>
      <c r="N669" s="311"/>
      <c r="Q669" s="311"/>
    </row>
    <row r="670" ht="15.75" customHeight="1">
      <c r="G670" s="311"/>
      <c r="H670" s="311"/>
      <c r="I670" s="311"/>
      <c r="L670" s="311"/>
      <c r="M670" s="311"/>
      <c r="N670" s="311"/>
      <c r="Q670" s="311"/>
    </row>
    <row r="671" ht="15.75" customHeight="1">
      <c r="G671" s="311"/>
      <c r="H671" s="311"/>
      <c r="I671" s="311"/>
      <c r="L671" s="311"/>
      <c r="M671" s="311"/>
      <c r="N671" s="311"/>
      <c r="Q671" s="311"/>
    </row>
    <row r="672" ht="15.75" customHeight="1">
      <c r="G672" s="311"/>
      <c r="H672" s="311"/>
      <c r="I672" s="311"/>
      <c r="L672" s="311"/>
      <c r="M672" s="311"/>
      <c r="N672" s="311"/>
      <c r="Q672" s="311"/>
    </row>
    <row r="673" ht="15.75" customHeight="1">
      <c r="G673" s="311"/>
      <c r="H673" s="311"/>
      <c r="I673" s="311"/>
      <c r="L673" s="311"/>
      <c r="M673" s="311"/>
      <c r="N673" s="311"/>
      <c r="Q673" s="311"/>
    </row>
    <row r="674" ht="15.75" customHeight="1">
      <c r="G674" s="311"/>
      <c r="H674" s="311"/>
      <c r="I674" s="311"/>
      <c r="L674" s="311"/>
      <c r="M674" s="311"/>
      <c r="N674" s="311"/>
      <c r="Q674" s="311"/>
    </row>
    <row r="675" ht="15.75" customHeight="1">
      <c r="G675" s="311"/>
      <c r="H675" s="311"/>
      <c r="I675" s="311"/>
      <c r="L675" s="311"/>
      <c r="M675" s="311"/>
      <c r="N675" s="311"/>
      <c r="Q675" s="311"/>
    </row>
    <row r="676" ht="15.75" customHeight="1">
      <c r="G676" s="311"/>
      <c r="H676" s="311"/>
      <c r="I676" s="311"/>
      <c r="L676" s="311"/>
      <c r="M676" s="311"/>
      <c r="N676" s="311"/>
      <c r="Q676" s="311"/>
    </row>
    <row r="677" ht="15.75" customHeight="1">
      <c r="G677" s="311"/>
      <c r="H677" s="311"/>
      <c r="I677" s="311"/>
      <c r="L677" s="311"/>
      <c r="M677" s="311"/>
      <c r="N677" s="311"/>
      <c r="Q677" s="311"/>
    </row>
    <row r="678" ht="15.75" customHeight="1">
      <c r="G678" s="311"/>
      <c r="H678" s="311"/>
      <c r="I678" s="311"/>
      <c r="L678" s="311"/>
      <c r="M678" s="311"/>
      <c r="N678" s="311"/>
      <c r="Q678" s="311"/>
    </row>
    <row r="679" ht="15.75" customHeight="1">
      <c r="G679" s="311"/>
      <c r="H679" s="311"/>
      <c r="I679" s="311"/>
      <c r="L679" s="311"/>
      <c r="M679" s="311"/>
      <c r="N679" s="311"/>
      <c r="Q679" s="311"/>
    </row>
    <row r="680" ht="15.75" customHeight="1">
      <c r="G680" s="311"/>
      <c r="H680" s="311"/>
      <c r="I680" s="311"/>
      <c r="L680" s="311"/>
      <c r="M680" s="311"/>
      <c r="N680" s="311"/>
      <c r="Q680" s="311"/>
    </row>
    <row r="681" ht="15.75" customHeight="1">
      <c r="G681" s="311"/>
      <c r="H681" s="311"/>
      <c r="I681" s="311"/>
      <c r="L681" s="311"/>
      <c r="M681" s="311"/>
      <c r="N681" s="311"/>
      <c r="Q681" s="311"/>
    </row>
    <row r="682" ht="15.75" customHeight="1">
      <c r="G682" s="311"/>
      <c r="H682" s="311"/>
      <c r="I682" s="311"/>
      <c r="L682" s="311"/>
      <c r="M682" s="311"/>
      <c r="N682" s="311"/>
      <c r="Q682" s="311"/>
    </row>
    <row r="683" ht="15.75" customHeight="1">
      <c r="G683" s="311"/>
      <c r="H683" s="311"/>
      <c r="I683" s="311"/>
      <c r="L683" s="311"/>
      <c r="M683" s="311"/>
      <c r="N683" s="311"/>
      <c r="Q683" s="311"/>
    </row>
    <row r="684" ht="15.75" customHeight="1">
      <c r="G684" s="311"/>
      <c r="H684" s="311"/>
      <c r="I684" s="311"/>
      <c r="L684" s="311"/>
      <c r="M684" s="311"/>
      <c r="N684" s="311"/>
      <c r="Q684" s="311"/>
    </row>
    <row r="685" ht="15.75" customHeight="1">
      <c r="G685" s="311"/>
      <c r="H685" s="311"/>
      <c r="I685" s="311"/>
      <c r="L685" s="311"/>
      <c r="M685" s="311"/>
      <c r="N685" s="311"/>
      <c r="Q685" s="311"/>
    </row>
    <row r="686" ht="15.75" customHeight="1">
      <c r="G686" s="311"/>
      <c r="H686" s="311"/>
      <c r="I686" s="311"/>
      <c r="L686" s="311"/>
      <c r="M686" s="311"/>
      <c r="N686" s="311"/>
      <c r="Q686" s="311"/>
    </row>
    <row r="687" ht="15.75" customHeight="1">
      <c r="G687" s="311"/>
      <c r="H687" s="311"/>
      <c r="I687" s="311"/>
      <c r="L687" s="311"/>
      <c r="M687" s="311"/>
      <c r="N687" s="311"/>
      <c r="Q687" s="311"/>
    </row>
    <row r="688" ht="15.75" customHeight="1">
      <c r="G688" s="311"/>
      <c r="H688" s="311"/>
      <c r="I688" s="311"/>
      <c r="L688" s="311"/>
      <c r="M688" s="311"/>
      <c r="N688" s="311"/>
      <c r="Q688" s="311"/>
    </row>
    <row r="689" ht="15.75" customHeight="1">
      <c r="G689" s="311"/>
      <c r="H689" s="311"/>
      <c r="I689" s="311"/>
      <c r="L689" s="311"/>
      <c r="M689" s="311"/>
      <c r="N689" s="311"/>
      <c r="Q689" s="311"/>
    </row>
    <row r="690" ht="15.75" customHeight="1">
      <c r="G690" s="311"/>
      <c r="H690" s="311"/>
      <c r="I690" s="311"/>
      <c r="L690" s="311"/>
      <c r="M690" s="311"/>
      <c r="N690" s="311"/>
      <c r="Q690" s="311"/>
    </row>
    <row r="691" ht="15.75" customHeight="1">
      <c r="G691" s="311"/>
      <c r="H691" s="311"/>
      <c r="I691" s="311"/>
      <c r="L691" s="311"/>
      <c r="M691" s="311"/>
      <c r="N691" s="311"/>
      <c r="Q691" s="311"/>
    </row>
    <row r="692" ht="15.75" customHeight="1">
      <c r="G692" s="311"/>
      <c r="H692" s="311"/>
      <c r="I692" s="311"/>
      <c r="L692" s="311"/>
      <c r="M692" s="311"/>
      <c r="N692" s="311"/>
      <c r="Q692" s="311"/>
    </row>
    <row r="693" ht="15.75" customHeight="1">
      <c r="G693" s="311"/>
      <c r="H693" s="311"/>
      <c r="I693" s="311"/>
      <c r="L693" s="311"/>
      <c r="M693" s="311"/>
      <c r="N693" s="311"/>
      <c r="Q693" s="311"/>
    </row>
    <row r="694" ht="15.75" customHeight="1">
      <c r="G694" s="311"/>
      <c r="H694" s="311"/>
      <c r="I694" s="311"/>
      <c r="L694" s="311"/>
      <c r="M694" s="311"/>
      <c r="N694" s="311"/>
      <c r="Q694" s="311"/>
    </row>
    <row r="695" ht="15.75" customHeight="1">
      <c r="G695" s="311"/>
      <c r="H695" s="311"/>
      <c r="I695" s="311"/>
      <c r="L695" s="311"/>
      <c r="M695" s="311"/>
      <c r="N695" s="311"/>
      <c r="Q695" s="311"/>
    </row>
    <row r="696" ht="15.75" customHeight="1">
      <c r="G696" s="311"/>
      <c r="H696" s="311"/>
      <c r="I696" s="311"/>
      <c r="L696" s="311"/>
      <c r="M696" s="311"/>
      <c r="N696" s="311"/>
      <c r="Q696" s="311"/>
    </row>
    <row r="697" ht="15.75" customHeight="1">
      <c r="G697" s="311"/>
      <c r="H697" s="311"/>
      <c r="I697" s="311"/>
      <c r="L697" s="311"/>
      <c r="M697" s="311"/>
      <c r="N697" s="311"/>
      <c r="Q697" s="311"/>
    </row>
    <row r="698" ht="15.75" customHeight="1">
      <c r="G698" s="311"/>
      <c r="H698" s="311"/>
      <c r="I698" s="311"/>
      <c r="L698" s="311"/>
      <c r="M698" s="311"/>
      <c r="N698" s="311"/>
      <c r="Q698" s="311"/>
    </row>
    <row r="699" ht="15.75" customHeight="1">
      <c r="G699" s="311"/>
      <c r="H699" s="311"/>
      <c r="I699" s="311"/>
      <c r="L699" s="311"/>
      <c r="M699" s="311"/>
      <c r="N699" s="311"/>
      <c r="Q699" s="311"/>
    </row>
    <row r="700" ht="15.75" customHeight="1">
      <c r="G700" s="311"/>
      <c r="H700" s="311"/>
      <c r="I700" s="311"/>
      <c r="L700" s="311"/>
      <c r="M700" s="311"/>
      <c r="N700" s="311"/>
      <c r="Q700" s="311"/>
    </row>
    <row r="701" ht="15.75" customHeight="1">
      <c r="G701" s="311"/>
      <c r="H701" s="311"/>
      <c r="I701" s="311"/>
      <c r="L701" s="311"/>
      <c r="M701" s="311"/>
      <c r="N701" s="311"/>
      <c r="Q701" s="311"/>
    </row>
    <row r="702" ht="15.75" customHeight="1">
      <c r="G702" s="311"/>
      <c r="H702" s="311"/>
      <c r="I702" s="311"/>
      <c r="L702" s="311"/>
      <c r="M702" s="311"/>
      <c r="N702" s="311"/>
      <c r="Q702" s="311"/>
    </row>
    <row r="703" ht="15.75" customHeight="1">
      <c r="G703" s="311"/>
      <c r="H703" s="311"/>
      <c r="I703" s="311"/>
      <c r="L703" s="311"/>
      <c r="M703" s="311"/>
      <c r="N703" s="311"/>
      <c r="Q703" s="311"/>
    </row>
    <row r="704" ht="15.75" customHeight="1">
      <c r="G704" s="311"/>
      <c r="H704" s="311"/>
      <c r="I704" s="311"/>
      <c r="L704" s="311"/>
      <c r="M704" s="311"/>
      <c r="N704" s="311"/>
      <c r="Q704" s="311"/>
    </row>
    <row r="705" ht="15.75" customHeight="1">
      <c r="G705" s="311"/>
      <c r="H705" s="311"/>
      <c r="I705" s="311"/>
      <c r="L705" s="311"/>
      <c r="M705" s="311"/>
      <c r="N705" s="311"/>
      <c r="Q705" s="311"/>
    </row>
    <row r="706" ht="15.75" customHeight="1">
      <c r="G706" s="311"/>
      <c r="H706" s="311"/>
      <c r="I706" s="311"/>
      <c r="L706" s="311"/>
      <c r="M706" s="311"/>
      <c r="N706" s="311"/>
      <c r="Q706" s="311"/>
    </row>
    <row r="707" ht="15.75" customHeight="1">
      <c r="G707" s="311"/>
      <c r="H707" s="311"/>
      <c r="I707" s="311"/>
      <c r="L707" s="311"/>
      <c r="M707" s="311"/>
      <c r="N707" s="311"/>
      <c r="Q707" s="311"/>
    </row>
    <row r="708" ht="15.75" customHeight="1">
      <c r="G708" s="311"/>
      <c r="H708" s="311"/>
      <c r="I708" s="311"/>
      <c r="L708" s="311"/>
      <c r="M708" s="311"/>
      <c r="N708" s="311"/>
      <c r="Q708" s="311"/>
    </row>
    <row r="709" ht="15.75" customHeight="1">
      <c r="G709" s="311"/>
      <c r="H709" s="311"/>
      <c r="I709" s="311"/>
      <c r="L709" s="311"/>
      <c r="M709" s="311"/>
      <c r="N709" s="311"/>
      <c r="Q709" s="311"/>
    </row>
    <row r="710" ht="15.75" customHeight="1">
      <c r="G710" s="311"/>
      <c r="H710" s="311"/>
      <c r="I710" s="311"/>
      <c r="L710" s="311"/>
      <c r="M710" s="311"/>
      <c r="N710" s="311"/>
      <c r="Q710" s="311"/>
    </row>
    <row r="711" ht="15.75" customHeight="1">
      <c r="G711" s="311"/>
      <c r="H711" s="311"/>
      <c r="I711" s="311"/>
      <c r="L711" s="311"/>
      <c r="M711" s="311"/>
      <c r="N711" s="311"/>
      <c r="Q711" s="311"/>
    </row>
    <row r="712" ht="15.75" customHeight="1">
      <c r="G712" s="311"/>
      <c r="H712" s="311"/>
      <c r="I712" s="311"/>
      <c r="L712" s="311"/>
      <c r="M712" s="311"/>
      <c r="N712" s="311"/>
      <c r="Q712" s="311"/>
    </row>
    <row r="713" ht="15.75" customHeight="1">
      <c r="G713" s="311"/>
      <c r="H713" s="311"/>
      <c r="I713" s="311"/>
      <c r="L713" s="311"/>
      <c r="M713" s="311"/>
      <c r="N713" s="311"/>
      <c r="Q713" s="311"/>
    </row>
    <row r="714" ht="15.75" customHeight="1">
      <c r="G714" s="311"/>
      <c r="H714" s="311"/>
      <c r="I714" s="311"/>
      <c r="L714" s="311"/>
      <c r="M714" s="311"/>
      <c r="N714" s="311"/>
      <c r="Q714" s="311"/>
    </row>
    <row r="715" ht="15.75" customHeight="1">
      <c r="G715" s="311"/>
      <c r="H715" s="311"/>
      <c r="I715" s="311"/>
      <c r="L715" s="311"/>
      <c r="M715" s="311"/>
      <c r="N715" s="311"/>
      <c r="Q715" s="311"/>
    </row>
    <row r="716" ht="15.75" customHeight="1">
      <c r="G716" s="311"/>
      <c r="H716" s="311"/>
      <c r="I716" s="311"/>
      <c r="L716" s="311"/>
      <c r="M716" s="311"/>
      <c r="N716" s="311"/>
      <c r="Q716" s="311"/>
    </row>
    <row r="717" ht="15.75" customHeight="1">
      <c r="G717" s="311"/>
      <c r="H717" s="311"/>
      <c r="I717" s="311"/>
      <c r="L717" s="311"/>
      <c r="M717" s="311"/>
      <c r="N717" s="311"/>
      <c r="Q717" s="311"/>
    </row>
    <row r="718" ht="15.75" customHeight="1">
      <c r="G718" s="311"/>
      <c r="H718" s="311"/>
      <c r="I718" s="311"/>
      <c r="L718" s="311"/>
      <c r="M718" s="311"/>
      <c r="N718" s="311"/>
      <c r="Q718" s="311"/>
    </row>
    <row r="719" ht="15.75" customHeight="1">
      <c r="G719" s="311"/>
      <c r="H719" s="311"/>
      <c r="I719" s="311"/>
      <c r="L719" s="311"/>
      <c r="M719" s="311"/>
      <c r="N719" s="311"/>
      <c r="Q719" s="311"/>
    </row>
    <row r="720" ht="15.75" customHeight="1">
      <c r="G720" s="311"/>
      <c r="H720" s="311"/>
      <c r="I720" s="311"/>
      <c r="L720" s="311"/>
      <c r="M720" s="311"/>
      <c r="N720" s="311"/>
      <c r="Q720" s="311"/>
    </row>
    <row r="721" ht="15.75" customHeight="1">
      <c r="G721" s="311"/>
      <c r="H721" s="311"/>
      <c r="I721" s="311"/>
      <c r="L721" s="311"/>
      <c r="M721" s="311"/>
      <c r="N721" s="311"/>
      <c r="Q721" s="311"/>
    </row>
    <row r="722" ht="15.75" customHeight="1">
      <c r="G722" s="311"/>
      <c r="H722" s="311"/>
      <c r="I722" s="311"/>
      <c r="L722" s="311"/>
      <c r="M722" s="311"/>
      <c r="N722" s="311"/>
      <c r="Q722" s="311"/>
    </row>
    <row r="723" ht="15.75" customHeight="1">
      <c r="G723" s="311"/>
      <c r="H723" s="311"/>
      <c r="I723" s="311"/>
      <c r="L723" s="311"/>
      <c r="M723" s="311"/>
      <c r="N723" s="311"/>
      <c r="Q723" s="311"/>
    </row>
    <row r="724" ht="15.75" customHeight="1">
      <c r="G724" s="311"/>
      <c r="H724" s="311"/>
      <c r="I724" s="311"/>
      <c r="L724" s="311"/>
      <c r="M724" s="311"/>
      <c r="N724" s="311"/>
      <c r="Q724" s="311"/>
    </row>
    <row r="725" ht="15.75" customHeight="1">
      <c r="G725" s="311"/>
      <c r="H725" s="311"/>
      <c r="I725" s="311"/>
      <c r="L725" s="311"/>
      <c r="M725" s="311"/>
      <c r="N725" s="311"/>
      <c r="Q725" s="311"/>
    </row>
    <row r="726" ht="15.75" customHeight="1">
      <c r="G726" s="311"/>
      <c r="H726" s="311"/>
      <c r="I726" s="311"/>
      <c r="L726" s="311"/>
      <c r="M726" s="311"/>
      <c r="N726" s="311"/>
      <c r="Q726" s="311"/>
    </row>
    <row r="727" ht="15.75" customHeight="1">
      <c r="G727" s="311"/>
      <c r="H727" s="311"/>
      <c r="I727" s="311"/>
      <c r="L727" s="311"/>
      <c r="M727" s="311"/>
      <c r="N727" s="311"/>
      <c r="Q727" s="311"/>
    </row>
    <row r="728" ht="15.75" customHeight="1">
      <c r="G728" s="311"/>
      <c r="H728" s="311"/>
      <c r="I728" s="311"/>
      <c r="L728" s="311"/>
      <c r="M728" s="311"/>
      <c r="N728" s="311"/>
      <c r="Q728" s="311"/>
    </row>
    <row r="729" ht="15.75" customHeight="1">
      <c r="G729" s="311"/>
      <c r="H729" s="311"/>
      <c r="I729" s="311"/>
      <c r="L729" s="311"/>
      <c r="M729" s="311"/>
      <c r="N729" s="311"/>
      <c r="Q729" s="311"/>
    </row>
    <row r="730" ht="15.75" customHeight="1">
      <c r="G730" s="311"/>
      <c r="H730" s="311"/>
      <c r="I730" s="311"/>
      <c r="L730" s="311"/>
      <c r="M730" s="311"/>
      <c r="N730" s="311"/>
      <c r="Q730" s="311"/>
    </row>
    <row r="731" ht="15.75" customHeight="1">
      <c r="G731" s="311"/>
      <c r="H731" s="311"/>
      <c r="I731" s="311"/>
      <c r="L731" s="311"/>
      <c r="M731" s="311"/>
      <c r="N731" s="311"/>
      <c r="Q731" s="311"/>
    </row>
    <row r="732" ht="15.75" customHeight="1">
      <c r="G732" s="311"/>
      <c r="H732" s="311"/>
      <c r="I732" s="311"/>
      <c r="L732" s="311"/>
      <c r="M732" s="311"/>
      <c r="N732" s="311"/>
      <c r="Q732" s="311"/>
    </row>
    <row r="733" ht="15.75" customHeight="1">
      <c r="G733" s="311"/>
      <c r="H733" s="311"/>
      <c r="I733" s="311"/>
      <c r="L733" s="311"/>
      <c r="M733" s="311"/>
      <c r="N733" s="311"/>
      <c r="Q733" s="311"/>
    </row>
    <row r="734" ht="15.75" customHeight="1">
      <c r="G734" s="311"/>
      <c r="H734" s="311"/>
      <c r="I734" s="311"/>
      <c r="L734" s="311"/>
      <c r="M734" s="311"/>
      <c r="N734" s="311"/>
      <c r="Q734" s="311"/>
    </row>
    <row r="735" ht="15.75" customHeight="1">
      <c r="G735" s="311"/>
      <c r="H735" s="311"/>
      <c r="I735" s="311"/>
      <c r="L735" s="311"/>
      <c r="M735" s="311"/>
      <c r="N735" s="311"/>
      <c r="Q735" s="311"/>
    </row>
    <row r="736" ht="15.75" customHeight="1">
      <c r="G736" s="311"/>
      <c r="H736" s="311"/>
      <c r="I736" s="311"/>
      <c r="L736" s="311"/>
      <c r="M736" s="311"/>
      <c r="N736" s="311"/>
      <c r="Q736" s="311"/>
    </row>
    <row r="737" ht="15.75" customHeight="1">
      <c r="G737" s="311"/>
      <c r="H737" s="311"/>
      <c r="I737" s="311"/>
      <c r="L737" s="311"/>
      <c r="M737" s="311"/>
      <c r="N737" s="311"/>
      <c r="Q737" s="311"/>
    </row>
    <row r="738" ht="15.75" customHeight="1">
      <c r="G738" s="311"/>
      <c r="H738" s="311"/>
      <c r="I738" s="311"/>
      <c r="L738" s="311"/>
      <c r="M738" s="311"/>
      <c r="N738" s="311"/>
      <c r="Q738" s="311"/>
    </row>
    <row r="739" ht="15.75" customHeight="1">
      <c r="G739" s="311"/>
      <c r="H739" s="311"/>
      <c r="I739" s="311"/>
      <c r="L739" s="311"/>
      <c r="M739" s="311"/>
      <c r="N739" s="311"/>
      <c r="Q739" s="311"/>
    </row>
    <row r="740" ht="15.75" customHeight="1">
      <c r="G740" s="311"/>
      <c r="H740" s="311"/>
      <c r="I740" s="311"/>
      <c r="L740" s="311"/>
      <c r="M740" s="311"/>
      <c r="N740" s="311"/>
      <c r="Q740" s="311"/>
    </row>
    <row r="741" ht="15.75" customHeight="1">
      <c r="G741" s="311"/>
      <c r="H741" s="311"/>
      <c r="I741" s="311"/>
      <c r="L741" s="311"/>
      <c r="M741" s="311"/>
      <c r="N741" s="311"/>
      <c r="Q741" s="311"/>
    </row>
    <row r="742" ht="15.75" customHeight="1">
      <c r="G742" s="311"/>
      <c r="H742" s="311"/>
      <c r="I742" s="311"/>
      <c r="L742" s="311"/>
      <c r="M742" s="311"/>
      <c r="N742" s="311"/>
      <c r="Q742" s="311"/>
    </row>
    <row r="743" ht="15.75" customHeight="1">
      <c r="G743" s="311"/>
      <c r="H743" s="311"/>
      <c r="I743" s="311"/>
      <c r="L743" s="311"/>
      <c r="M743" s="311"/>
      <c r="N743" s="311"/>
      <c r="Q743" s="311"/>
    </row>
    <row r="744" ht="15.75" customHeight="1">
      <c r="G744" s="311"/>
      <c r="H744" s="311"/>
      <c r="I744" s="311"/>
      <c r="L744" s="311"/>
      <c r="M744" s="311"/>
      <c r="N744" s="311"/>
      <c r="Q744" s="311"/>
    </row>
    <row r="745" ht="15.75" customHeight="1">
      <c r="G745" s="311"/>
      <c r="H745" s="311"/>
      <c r="I745" s="311"/>
      <c r="L745" s="311"/>
      <c r="M745" s="311"/>
      <c r="N745" s="311"/>
      <c r="Q745" s="311"/>
    </row>
    <row r="746" ht="15.75" customHeight="1">
      <c r="G746" s="311"/>
      <c r="H746" s="311"/>
      <c r="I746" s="311"/>
      <c r="L746" s="311"/>
      <c r="M746" s="311"/>
      <c r="N746" s="311"/>
      <c r="Q746" s="311"/>
    </row>
    <row r="747" ht="15.75" customHeight="1">
      <c r="G747" s="311"/>
      <c r="H747" s="311"/>
      <c r="I747" s="311"/>
      <c r="L747" s="311"/>
      <c r="M747" s="311"/>
      <c r="N747" s="311"/>
      <c r="Q747" s="311"/>
    </row>
    <row r="748" ht="15.75" customHeight="1">
      <c r="G748" s="311"/>
      <c r="H748" s="311"/>
      <c r="I748" s="311"/>
      <c r="L748" s="311"/>
      <c r="M748" s="311"/>
      <c r="N748" s="311"/>
      <c r="Q748" s="311"/>
    </row>
    <row r="749" ht="15.75" customHeight="1">
      <c r="G749" s="311"/>
      <c r="H749" s="311"/>
      <c r="I749" s="311"/>
      <c r="L749" s="311"/>
      <c r="M749" s="311"/>
      <c r="N749" s="311"/>
      <c r="Q749" s="311"/>
    </row>
    <row r="750" ht="15.75" customHeight="1">
      <c r="G750" s="311"/>
      <c r="H750" s="311"/>
      <c r="I750" s="311"/>
      <c r="L750" s="311"/>
      <c r="M750" s="311"/>
      <c r="N750" s="311"/>
      <c r="Q750" s="311"/>
    </row>
    <row r="751" ht="15.75" customHeight="1">
      <c r="G751" s="311"/>
      <c r="H751" s="311"/>
      <c r="I751" s="311"/>
      <c r="L751" s="311"/>
      <c r="M751" s="311"/>
      <c r="N751" s="311"/>
      <c r="Q751" s="311"/>
    </row>
    <row r="752" ht="15.75" customHeight="1">
      <c r="G752" s="311"/>
      <c r="H752" s="311"/>
      <c r="I752" s="311"/>
      <c r="L752" s="311"/>
      <c r="M752" s="311"/>
      <c r="N752" s="311"/>
      <c r="Q752" s="311"/>
    </row>
    <row r="753" ht="15.75" customHeight="1">
      <c r="G753" s="311"/>
      <c r="H753" s="311"/>
      <c r="I753" s="311"/>
      <c r="L753" s="311"/>
      <c r="M753" s="311"/>
      <c r="N753" s="311"/>
      <c r="Q753" s="311"/>
    </row>
    <row r="754" ht="15.75" customHeight="1">
      <c r="G754" s="311"/>
      <c r="H754" s="311"/>
      <c r="I754" s="311"/>
      <c r="L754" s="311"/>
      <c r="M754" s="311"/>
      <c r="N754" s="311"/>
      <c r="Q754" s="311"/>
    </row>
    <row r="755" ht="15.75" customHeight="1">
      <c r="G755" s="311"/>
      <c r="H755" s="311"/>
      <c r="I755" s="311"/>
      <c r="L755" s="311"/>
      <c r="M755" s="311"/>
      <c r="N755" s="311"/>
      <c r="Q755" s="311"/>
    </row>
    <row r="756" ht="15.75" customHeight="1">
      <c r="G756" s="311"/>
      <c r="H756" s="311"/>
      <c r="I756" s="311"/>
      <c r="L756" s="311"/>
      <c r="M756" s="311"/>
      <c r="N756" s="311"/>
      <c r="Q756" s="311"/>
    </row>
    <row r="757" ht="15.75" customHeight="1">
      <c r="G757" s="311"/>
      <c r="H757" s="311"/>
      <c r="I757" s="311"/>
      <c r="L757" s="311"/>
      <c r="M757" s="311"/>
      <c r="N757" s="311"/>
      <c r="Q757" s="311"/>
    </row>
    <row r="758" ht="15.75" customHeight="1">
      <c r="G758" s="311"/>
      <c r="H758" s="311"/>
      <c r="I758" s="311"/>
      <c r="L758" s="311"/>
      <c r="M758" s="311"/>
      <c r="N758" s="311"/>
      <c r="Q758" s="311"/>
    </row>
    <row r="759" ht="15.75" customHeight="1">
      <c r="G759" s="311"/>
      <c r="H759" s="311"/>
      <c r="I759" s="311"/>
      <c r="L759" s="311"/>
      <c r="M759" s="311"/>
      <c r="N759" s="311"/>
      <c r="Q759" s="311"/>
    </row>
    <row r="760" ht="15.75" customHeight="1">
      <c r="G760" s="311"/>
      <c r="H760" s="311"/>
      <c r="I760" s="311"/>
      <c r="L760" s="311"/>
      <c r="M760" s="311"/>
      <c r="N760" s="311"/>
      <c r="Q760" s="311"/>
    </row>
    <row r="761" ht="15.75" customHeight="1">
      <c r="G761" s="311"/>
      <c r="H761" s="311"/>
      <c r="I761" s="311"/>
      <c r="L761" s="311"/>
      <c r="M761" s="311"/>
      <c r="N761" s="311"/>
      <c r="Q761" s="311"/>
    </row>
    <row r="762" ht="15.75" customHeight="1">
      <c r="G762" s="311"/>
      <c r="H762" s="311"/>
      <c r="I762" s="311"/>
      <c r="L762" s="311"/>
      <c r="M762" s="311"/>
      <c r="N762" s="311"/>
      <c r="Q762" s="311"/>
    </row>
    <row r="763" ht="15.75" customHeight="1">
      <c r="G763" s="311"/>
      <c r="H763" s="311"/>
      <c r="I763" s="311"/>
      <c r="L763" s="311"/>
      <c r="M763" s="311"/>
      <c r="N763" s="311"/>
      <c r="Q763" s="311"/>
    </row>
    <row r="764" ht="15.75" customHeight="1">
      <c r="G764" s="311"/>
      <c r="H764" s="311"/>
      <c r="I764" s="311"/>
      <c r="L764" s="311"/>
      <c r="M764" s="311"/>
      <c r="N764" s="311"/>
      <c r="Q764" s="311"/>
    </row>
    <row r="765" ht="15.75" customHeight="1">
      <c r="G765" s="311"/>
      <c r="H765" s="311"/>
      <c r="I765" s="311"/>
      <c r="L765" s="311"/>
      <c r="M765" s="311"/>
      <c r="N765" s="311"/>
      <c r="Q765" s="311"/>
    </row>
    <row r="766" ht="15.75" customHeight="1">
      <c r="G766" s="311"/>
      <c r="H766" s="311"/>
      <c r="I766" s="311"/>
      <c r="L766" s="311"/>
      <c r="M766" s="311"/>
      <c r="N766" s="311"/>
      <c r="Q766" s="311"/>
    </row>
    <row r="767" ht="15.75" customHeight="1">
      <c r="G767" s="311"/>
      <c r="H767" s="311"/>
      <c r="I767" s="311"/>
      <c r="L767" s="311"/>
      <c r="M767" s="311"/>
      <c r="N767" s="311"/>
      <c r="Q767" s="311"/>
    </row>
    <row r="768" ht="15.75" customHeight="1">
      <c r="G768" s="311"/>
      <c r="H768" s="311"/>
      <c r="I768" s="311"/>
      <c r="L768" s="311"/>
      <c r="M768" s="311"/>
      <c r="N768" s="311"/>
      <c r="Q768" s="311"/>
    </row>
    <row r="769" ht="15.75" customHeight="1">
      <c r="G769" s="311"/>
      <c r="H769" s="311"/>
      <c r="I769" s="311"/>
      <c r="L769" s="311"/>
      <c r="M769" s="311"/>
      <c r="N769" s="311"/>
      <c r="Q769" s="311"/>
    </row>
    <row r="770" ht="15.75" customHeight="1">
      <c r="G770" s="311"/>
      <c r="H770" s="311"/>
      <c r="I770" s="311"/>
      <c r="L770" s="311"/>
      <c r="M770" s="311"/>
      <c r="N770" s="311"/>
      <c r="Q770" s="311"/>
    </row>
    <row r="771" ht="15.75" customHeight="1">
      <c r="G771" s="311"/>
      <c r="H771" s="311"/>
      <c r="I771" s="311"/>
      <c r="L771" s="311"/>
      <c r="M771" s="311"/>
      <c r="N771" s="311"/>
      <c r="Q771" s="311"/>
    </row>
    <row r="772" ht="15.75" customHeight="1">
      <c r="G772" s="311"/>
      <c r="H772" s="311"/>
      <c r="I772" s="311"/>
      <c r="L772" s="311"/>
      <c r="M772" s="311"/>
      <c r="N772" s="311"/>
      <c r="Q772" s="311"/>
    </row>
    <row r="773" ht="15.75" customHeight="1">
      <c r="G773" s="311"/>
      <c r="H773" s="311"/>
      <c r="I773" s="311"/>
      <c r="L773" s="311"/>
      <c r="M773" s="311"/>
      <c r="N773" s="311"/>
      <c r="Q773" s="311"/>
    </row>
    <row r="774" ht="15.75" customHeight="1">
      <c r="G774" s="311"/>
      <c r="H774" s="311"/>
      <c r="I774" s="311"/>
      <c r="L774" s="311"/>
      <c r="M774" s="311"/>
      <c r="N774" s="311"/>
      <c r="Q774" s="311"/>
    </row>
    <row r="775" ht="15.75" customHeight="1">
      <c r="G775" s="311"/>
      <c r="H775" s="311"/>
      <c r="I775" s="311"/>
      <c r="L775" s="311"/>
      <c r="M775" s="311"/>
      <c r="N775" s="311"/>
      <c r="Q775" s="311"/>
    </row>
    <row r="776" ht="15.75" customHeight="1">
      <c r="G776" s="311"/>
      <c r="H776" s="311"/>
      <c r="I776" s="311"/>
      <c r="L776" s="311"/>
      <c r="M776" s="311"/>
      <c r="N776" s="311"/>
      <c r="Q776" s="311"/>
    </row>
    <row r="777" ht="15.75" customHeight="1">
      <c r="G777" s="311"/>
      <c r="H777" s="311"/>
      <c r="I777" s="311"/>
      <c r="L777" s="311"/>
      <c r="M777" s="311"/>
      <c r="N777" s="311"/>
      <c r="Q777" s="311"/>
    </row>
    <row r="778" ht="15.75" customHeight="1">
      <c r="G778" s="311"/>
      <c r="H778" s="311"/>
      <c r="I778" s="311"/>
      <c r="L778" s="311"/>
      <c r="M778" s="311"/>
      <c r="N778" s="311"/>
      <c r="Q778" s="311"/>
    </row>
    <row r="779" ht="15.75" customHeight="1">
      <c r="G779" s="311"/>
      <c r="H779" s="311"/>
      <c r="I779" s="311"/>
      <c r="L779" s="311"/>
      <c r="M779" s="311"/>
      <c r="N779" s="311"/>
      <c r="Q779" s="311"/>
    </row>
    <row r="780" ht="15.75" customHeight="1">
      <c r="G780" s="311"/>
      <c r="H780" s="311"/>
      <c r="I780" s="311"/>
      <c r="L780" s="311"/>
      <c r="M780" s="311"/>
      <c r="N780" s="311"/>
      <c r="Q780" s="311"/>
    </row>
    <row r="781" ht="15.75" customHeight="1">
      <c r="G781" s="311"/>
      <c r="H781" s="311"/>
      <c r="I781" s="311"/>
      <c r="L781" s="311"/>
      <c r="M781" s="311"/>
      <c r="N781" s="311"/>
      <c r="Q781" s="311"/>
    </row>
    <row r="782" ht="15.75" customHeight="1">
      <c r="G782" s="311"/>
      <c r="H782" s="311"/>
      <c r="I782" s="311"/>
      <c r="L782" s="311"/>
      <c r="M782" s="311"/>
      <c r="N782" s="311"/>
      <c r="Q782" s="311"/>
    </row>
    <row r="783" ht="15.75" customHeight="1">
      <c r="G783" s="311"/>
      <c r="H783" s="311"/>
      <c r="I783" s="311"/>
      <c r="L783" s="311"/>
      <c r="M783" s="311"/>
      <c r="N783" s="311"/>
      <c r="Q783" s="311"/>
    </row>
    <row r="784" ht="15.75" customHeight="1">
      <c r="G784" s="311"/>
      <c r="H784" s="311"/>
      <c r="I784" s="311"/>
      <c r="L784" s="311"/>
      <c r="M784" s="311"/>
      <c r="N784" s="311"/>
      <c r="Q784" s="311"/>
    </row>
    <row r="785" ht="15.75" customHeight="1">
      <c r="G785" s="311"/>
      <c r="H785" s="311"/>
      <c r="I785" s="311"/>
      <c r="L785" s="311"/>
      <c r="M785" s="311"/>
      <c r="N785" s="311"/>
      <c r="Q785" s="311"/>
    </row>
    <row r="786" ht="15.75" customHeight="1">
      <c r="G786" s="311"/>
      <c r="H786" s="311"/>
      <c r="I786" s="311"/>
      <c r="L786" s="311"/>
      <c r="M786" s="311"/>
      <c r="N786" s="311"/>
      <c r="Q786" s="311"/>
    </row>
    <row r="787" ht="15.75" customHeight="1">
      <c r="G787" s="311"/>
      <c r="H787" s="311"/>
      <c r="I787" s="311"/>
      <c r="L787" s="311"/>
      <c r="M787" s="311"/>
      <c r="N787" s="311"/>
      <c r="Q787" s="311"/>
    </row>
    <row r="788" ht="15.75" customHeight="1">
      <c r="G788" s="311"/>
      <c r="H788" s="311"/>
      <c r="I788" s="311"/>
      <c r="L788" s="311"/>
      <c r="M788" s="311"/>
      <c r="N788" s="311"/>
      <c r="Q788" s="311"/>
    </row>
    <row r="789" ht="15.75" customHeight="1">
      <c r="G789" s="311"/>
      <c r="H789" s="311"/>
      <c r="I789" s="311"/>
      <c r="L789" s="311"/>
      <c r="M789" s="311"/>
      <c r="N789" s="311"/>
      <c r="Q789" s="311"/>
    </row>
    <row r="790" ht="15.75" customHeight="1">
      <c r="G790" s="311"/>
      <c r="H790" s="311"/>
      <c r="I790" s="311"/>
      <c r="L790" s="311"/>
      <c r="M790" s="311"/>
      <c r="N790" s="311"/>
      <c r="Q790" s="311"/>
    </row>
    <row r="791" ht="15.75" customHeight="1">
      <c r="G791" s="311"/>
      <c r="H791" s="311"/>
      <c r="I791" s="311"/>
      <c r="L791" s="311"/>
      <c r="M791" s="311"/>
      <c r="N791" s="311"/>
      <c r="Q791" s="311"/>
    </row>
    <row r="792" ht="15.75" customHeight="1">
      <c r="G792" s="311"/>
      <c r="H792" s="311"/>
      <c r="I792" s="311"/>
      <c r="L792" s="311"/>
      <c r="M792" s="311"/>
      <c r="N792" s="311"/>
      <c r="Q792" s="311"/>
    </row>
    <row r="793" ht="15.75" customHeight="1">
      <c r="G793" s="311"/>
      <c r="H793" s="311"/>
      <c r="I793" s="311"/>
      <c r="L793" s="311"/>
      <c r="M793" s="311"/>
      <c r="N793" s="311"/>
      <c r="Q793" s="311"/>
    </row>
    <row r="794" ht="15.75" customHeight="1">
      <c r="G794" s="311"/>
      <c r="H794" s="311"/>
      <c r="I794" s="311"/>
      <c r="L794" s="311"/>
      <c r="M794" s="311"/>
      <c r="N794" s="311"/>
      <c r="Q794" s="311"/>
    </row>
    <row r="795" ht="15.75" customHeight="1">
      <c r="G795" s="311"/>
      <c r="H795" s="311"/>
      <c r="I795" s="311"/>
      <c r="L795" s="311"/>
      <c r="M795" s="311"/>
      <c r="N795" s="311"/>
      <c r="Q795" s="311"/>
    </row>
    <row r="796" ht="15.75" customHeight="1">
      <c r="G796" s="311"/>
      <c r="H796" s="311"/>
      <c r="I796" s="311"/>
      <c r="L796" s="311"/>
      <c r="M796" s="311"/>
      <c r="N796" s="311"/>
      <c r="Q796" s="311"/>
    </row>
    <row r="797" ht="15.75" customHeight="1">
      <c r="G797" s="311"/>
      <c r="H797" s="311"/>
      <c r="I797" s="311"/>
      <c r="L797" s="311"/>
      <c r="M797" s="311"/>
      <c r="N797" s="311"/>
      <c r="Q797" s="311"/>
    </row>
    <row r="798" ht="15.75" customHeight="1">
      <c r="G798" s="311"/>
      <c r="H798" s="311"/>
      <c r="I798" s="311"/>
      <c r="L798" s="311"/>
      <c r="M798" s="311"/>
      <c r="N798" s="311"/>
      <c r="Q798" s="311"/>
    </row>
    <row r="799" ht="15.75" customHeight="1">
      <c r="G799" s="311"/>
      <c r="H799" s="311"/>
      <c r="I799" s="311"/>
      <c r="L799" s="311"/>
      <c r="M799" s="311"/>
      <c r="N799" s="311"/>
      <c r="Q799" s="311"/>
    </row>
    <row r="800" ht="15.75" customHeight="1">
      <c r="G800" s="311"/>
      <c r="H800" s="311"/>
      <c r="I800" s="311"/>
      <c r="L800" s="311"/>
      <c r="M800" s="311"/>
      <c r="N800" s="311"/>
      <c r="Q800" s="311"/>
    </row>
    <row r="801" ht="15.75" customHeight="1">
      <c r="G801" s="311"/>
      <c r="H801" s="311"/>
      <c r="I801" s="311"/>
      <c r="L801" s="311"/>
      <c r="M801" s="311"/>
      <c r="N801" s="311"/>
      <c r="Q801" s="311"/>
    </row>
    <row r="802" ht="15.75" customHeight="1">
      <c r="G802" s="311"/>
      <c r="H802" s="311"/>
      <c r="I802" s="311"/>
      <c r="L802" s="311"/>
      <c r="M802" s="311"/>
      <c r="N802" s="311"/>
      <c r="Q802" s="311"/>
    </row>
    <row r="803" ht="15.75" customHeight="1">
      <c r="G803" s="311"/>
      <c r="H803" s="311"/>
      <c r="I803" s="311"/>
      <c r="L803" s="311"/>
      <c r="M803" s="311"/>
      <c r="N803" s="311"/>
      <c r="Q803" s="311"/>
    </row>
    <row r="804" ht="15.75" customHeight="1">
      <c r="G804" s="311"/>
      <c r="H804" s="311"/>
      <c r="I804" s="311"/>
      <c r="L804" s="311"/>
      <c r="M804" s="311"/>
      <c r="N804" s="311"/>
      <c r="Q804" s="311"/>
    </row>
    <row r="805" ht="15.75" customHeight="1">
      <c r="G805" s="311"/>
      <c r="H805" s="311"/>
      <c r="I805" s="311"/>
      <c r="L805" s="311"/>
      <c r="M805" s="311"/>
      <c r="N805" s="311"/>
      <c r="Q805" s="311"/>
    </row>
    <row r="806" ht="15.75" customHeight="1">
      <c r="G806" s="311"/>
      <c r="H806" s="311"/>
      <c r="I806" s="311"/>
      <c r="L806" s="311"/>
      <c r="M806" s="311"/>
      <c r="N806" s="311"/>
      <c r="Q806" s="311"/>
    </row>
    <row r="807" ht="15.75" customHeight="1">
      <c r="G807" s="311"/>
      <c r="H807" s="311"/>
      <c r="I807" s="311"/>
      <c r="L807" s="311"/>
      <c r="M807" s="311"/>
      <c r="N807" s="311"/>
      <c r="Q807" s="311"/>
    </row>
    <row r="808" ht="15.75" customHeight="1">
      <c r="G808" s="311"/>
      <c r="H808" s="311"/>
      <c r="I808" s="311"/>
      <c r="L808" s="311"/>
      <c r="M808" s="311"/>
      <c r="N808" s="311"/>
      <c r="Q808" s="311"/>
    </row>
    <row r="809" ht="15.75" customHeight="1">
      <c r="G809" s="311"/>
      <c r="H809" s="311"/>
      <c r="I809" s="311"/>
      <c r="L809" s="311"/>
      <c r="M809" s="311"/>
      <c r="N809" s="311"/>
      <c r="Q809" s="311"/>
    </row>
    <row r="810" ht="15.75" customHeight="1">
      <c r="G810" s="311"/>
      <c r="H810" s="311"/>
      <c r="I810" s="311"/>
      <c r="L810" s="311"/>
      <c r="M810" s="311"/>
      <c r="N810" s="311"/>
      <c r="Q810" s="311"/>
    </row>
    <row r="811" ht="15.75" customHeight="1">
      <c r="G811" s="311"/>
      <c r="H811" s="311"/>
      <c r="I811" s="311"/>
      <c r="L811" s="311"/>
      <c r="M811" s="311"/>
      <c r="N811" s="311"/>
      <c r="Q811" s="311"/>
    </row>
    <row r="812" ht="15.75" customHeight="1">
      <c r="G812" s="311"/>
      <c r="H812" s="311"/>
      <c r="I812" s="311"/>
      <c r="L812" s="311"/>
      <c r="M812" s="311"/>
      <c r="N812" s="311"/>
      <c r="Q812" s="311"/>
    </row>
    <row r="813" ht="15.75" customHeight="1">
      <c r="G813" s="311"/>
      <c r="H813" s="311"/>
      <c r="I813" s="311"/>
      <c r="L813" s="311"/>
      <c r="M813" s="311"/>
      <c r="N813" s="311"/>
      <c r="Q813" s="311"/>
    </row>
    <row r="814" ht="15.75" customHeight="1">
      <c r="G814" s="311"/>
      <c r="H814" s="311"/>
      <c r="I814" s="311"/>
      <c r="L814" s="311"/>
      <c r="M814" s="311"/>
      <c r="N814" s="311"/>
      <c r="Q814" s="311"/>
    </row>
    <row r="815" ht="15.75" customHeight="1">
      <c r="G815" s="311"/>
      <c r="H815" s="311"/>
      <c r="I815" s="311"/>
      <c r="L815" s="311"/>
      <c r="M815" s="311"/>
      <c r="N815" s="311"/>
      <c r="Q815" s="311"/>
    </row>
    <row r="816" ht="15.75" customHeight="1">
      <c r="G816" s="311"/>
      <c r="H816" s="311"/>
      <c r="I816" s="311"/>
      <c r="L816" s="311"/>
      <c r="M816" s="311"/>
      <c r="N816" s="311"/>
      <c r="Q816" s="311"/>
    </row>
    <row r="817" ht="15.75" customHeight="1">
      <c r="G817" s="311"/>
      <c r="H817" s="311"/>
      <c r="I817" s="311"/>
      <c r="L817" s="311"/>
      <c r="M817" s="311"/>
      <c r="N817" s="311"/>
      <c r="Q817" s="311"/>
    </row>
    <row r="818" ht="15.75" customHeight="1">
      <c r="G818" s="311"/>
      <c r="H818" s="311"/>
      <c r="I818" s="311"/>
      <c r="L818" s="311"/>
      <c r="M818" s="311"/>
      <c r="N818" s="311"/>
      <c r="Q818" s="311"/>
    </row>
    <row r="819" ht="15.75" customHeight="1">
      <c r="G819" s="311"/>
      <c r="H819" s="311"/>
      <c r="I819" s="311"/>
      <c r="L819" s="311"/>
      <c r="M819" s="311"/>
      <c r="N819" s="311"/>
      <c r="Q819" s="311"/>
    </row>
    <row r="820" ht="15.75" customHeight="1">
      <c r="G820" s="311"/>
      <c r="H820" s="311"/>
      <c r="I820" s="311"/>
      <c r="L820" s="311"/>
      <c r="M820" s="311"/>
      <c r="N820" s="311"/>
      <c r="Q820" s="311"/>
    </row>
    <row r="821" ht="15.75" customHeight="1">
      <c r="G821" s="311"/>
      <c r="H821" s="311"/>
      <c r="I821" s="311"/>
      <c r="L821" s="311"/>
      <c r="M821" s="311"/>
      <c r="N821" s="311"/>
      <c r="Q821" s="311"/>
    </row>
    <row r="822" ht="15.75" customHeight="1">
      <c r="G822" s="311"/>
      <c r="H822" s="311"/>
      <c r="I822" s="311"/>
      <c r="L822" s="311"/>
      <c r="M822" s="311"/>
      <c r="N822" s="311"/>
      <c r="Q822" s="311"/>
    </row>
    <row r="823" ht="15.75" customHeight="1">
      <c r="G823" s="311"/>
      <c r="H823" s="311"/>
      <c r="I823" s="311"/>
      <c r="L823" s="311"/>
      <c r="M823" s="311"/>
      <c r="N823" s="311"/>
      <c r="Q823" s="311"/>
    </row>
    <row r="824" ht="15.75" customHeight="1">
      <c r="G824" s="311"/>
      <c r="H824" s="311"/>
      <c r="I824" s="311"/>
      <c r="L824" s="311"/>
      <c r="M824" s="311"/>
      <c r="N824" s="311"/>
      <c r="Q824" s="311"/>
    </row>
    <row r="825" ht="15.75" customHeight="1">
      <c r="G825" s="311"/>
      <c r="H825" s="311"/>
      <c r="I825" s="311"/>
      <c r="L825" s="311"/>
      <c r="M825" s="311"/>
      <c r="N825" s="311"/>
      <c r="Q825" s="311"/>
    </row>
    <row r="826" ht="15.75" customHeight="1">
      <c r="G826" s="311"/>
      <c r="H826" s="311"/>
      <c r="I826" s="311"/>
      <c r="L826" s="311"/>
      <c r="M826" s="311"/>
      <c r="N826" s="311"/>
      <c r="Q826" s="311"/>
    </row>
    <row r="827" ht="15.75" customHeight="1">
      <c r="G827" s="311"/>
      <c r="H827" s="311"/>
      <c r="I827" s="311"/>
      <c r="L827" s="311"/>
      <c r="M827" s="311"/>
      <c r="N827" s="311"/>
      <c r="Q827" s="311"/>
    </row>
    <row r="828" ht="15.75" customHeight="1">
      <c r="G828" s="311"/>
      <c r="H828" s="311"/>
      <c r="I828" s="311"/>
      <c r="L828" s="311"/>
      <c r="M828" s="311"/>
      <c r="N828" s="311"/>
      <c r="Q828" s="311"/>
    </row>
    <row r="829" ht="15.75" customHeight="1">
      <c r="G829" s="311"/>
      <c r="H829" s="311"/>
      <c r="I829" s="311"/>
      <c r="L829" s="311"/>
      <c r="M829" s="311"/>
      <c r="N829" s="311"/>
      <c r="Q829" s="311"/>
    </row>
    <row r="830" ht="15.75" customHeight="1">
      <c r="G830" s="311"/>
      <c r="H830" s="311"/>
      <c r="I830" s="311"/>
      <c r="L830" s="311"/>
      <c r="M830" s="311"/>
      <c r="N830" s="311"/>
      <c r="Q830" s="311"/>
    </row>
    <row r="831" ht="15.75" customHeight="1">
      <c r="G831" s="311"/>
      <c r="H831" s="311"/>
      <c r="I831" s="311"/>
      <c r="L831" s="311"/>
      <c r="M831" s="311"/>
      <c r="N831" s="311"/>
      <c r="Q831" s="311"/>
    </row>
    <row r="832" ht="15.75" customHeight="1">
      <c r="G832" s="311"/>
      <c r="H832" s="311"/>
      <c r="I832" s="311"/>
      <c r="L832" s="311"/>
      <c r="M832" s="311"/>
      <c r="N832" s="311"/>
      <c r="Q832" s="311"/>
    </row>
    <row r="833" ht="15.75" customHeight="1">
      <c r="G833" s="311"/>
      <c r="H833" s="311"/>
      <c r="I833" s="311"/>
      <c r="L833" s="311"/>
      <c r="M833" s="311"/>
      <c r="N833" s="311"/>
      <c r="Q833" s="311"/>
    </row>
    <row r="834" ht="15.75" customHeight="1">
      <c r="G834" s="311"/>
      <c r="H834" s="311"/>
      <c r="I834" s="311"/>
      <c r="L834" s="311"/>
      <c r="M834" s="311"/>
      <c r="N834" s="311"/>
      <c r="Q834" s="311"/>
    </row>
    <row r="835" ht="15.75" customHeight="1">
      <c r="G835" s="311"/>
      <c r="H835" s="311"/>
      <c r="I835" s="311"/>
      <c r="L835" s="311"/>
      <c r="M835" s="311"/>
      <c r="N835" s="311"/>
      <c r="Q835" s="311"/>
    </row>
    <row r="836" ht="15.75" customHeight="1">
      <c r="G836" s="311"/>
      <c r="H836" s="311"/>
      <c r="I836" s="311"/>
      <c r="L836" s="311"/>
      <c r="M836" s="311"/>
      <c r="N836" s="311"/>
      <c r="Q836" s="311"/>
    </row>
    <row r="837" ht="15.75" customHeight="1">
      <c r="G837" s="311"/>
      <c r="H837" s="311"/>
      <c r="I837" s="311"/>
      <c r="L837" s="311"/>
      <c r="M837" s="311"/>
      <c r="N837" s="311"/>
      <c r="Q837" s="311"/>
    </row>
    <row r="838" ht="15.75" customHeight="1">
      <c r="G838" s="311"/>
      <c r="H838" s="311"/>
      <c r="I838" s="311"/>
      <c r="L838" s="311"/>
      <c r="M838" s="311"/>
      <c r="N838" s="311"/>
      <c r="Q838" s="311"/>
    </row>
    <row r="839" ht="15.75" customHeight="1">
      <c r="G839" s="311"/>
      <c r="H839" s="311"/>
      <c r="I839" s="311"/>
      <c r="L839" s="311"/>
      <c r="M839" s="311"/>
      <c r="N839" s="311"/>
      <c r="Q839" s="311"/>
    </row>
    <row r="840" ht="15.75" customHeight="1">
      <c r="G840" s="311"/>
      <c r="H840" s="311"/>
      <c r="I840" s="311"/>
      <c r="L840" s="311"/>
      <c r="M840" s="311"/>
      <c r="N840" s="311"/>
      <c r="Q840" s="311"/>
    </row>
    <row r="841" ht="15.75" customHeight="1">
      <c r="G841" s="311"/>
      <c r="H841" s="311"/>
      <c r="I841" s="311"/>
      <c r="L841" s="311"/>
      <c r="M841" s="311"/>
      <c r="N841" s="311"/>
      <c r="Q841" s="311"/>
    </row>
    <row r="842" ht="15.75" customHeight="1">
      <c r="G842" s="311"/>
      <c r="H842" s="311"/>
      <c r="I842" s="311"/>
      <c r="L842" s="311"/>
      <c r="M842" s="311"/>
      <c r="N842" s="311"/>
      <c r="Q842" s="311"/>
    </row>
    <row r="843" ht="15.75" customHeight="1">
      <c r="G843" s="311"/>
      <c r="H843" s="311"/>
      <c r="I843" s="311"/>
      <c r="L843" s="311"/>
      <c r="M843" s="311"/>
      <c r="N843" s="311"/>
      <c r="Q843" s="311"/>
    </row>
    <row r="844" ht="15.75" customHeight="1">
      <c r="G844" s="311"/>
      <c r="H844" s="311"/>
      <c r="I844" s="311"/>
      <c r="L844" s="311"/>
      <c r="M844" s="311"/>
      <c r="N844" s="311"/>
      <c r="Q844" s="311"/>
    </row>
    <row r="845" ht="15.75" customHeight="1">
      <c r="G845" s="311"/>
      <c r="H845" s="311"/>
      <c r="I845" s="311"/>
      <c r="L845" s="311"/>
      <c r="M845" s="311"/>
      <c r="N845" s="311"/>
      <c r="Q845" s="311"/>
    </row>
    <row r="846" ht="15.75" customHeight="1">
      <c r="G846" s="311"/>
      <c r="H846" s="311"/>
      <c r="I846" s="311"/>
      <c r="L846" s="311"/>
      <c r="M846" s="311"/>
      <c r="N846" s="311"/>
      <c r="Q846" s="311"/>
    </row>
    <row r="847" ht="15.75" customHeight="1">
      <c r="G847" s="311"/>
      <c r="H847" s="311"/>
      <c r="I847" s="311"/>
      <c r="L847" s="311"/>
      <c r="M847" s="311"/>
      <c r="N847" s="311"/>
      <c r="Q847" s="311"/>
    </row>
    <row r="848" ht="15.75" customHeight="1">
      <c r="G848" s="311"/>
      <c r="H848" s="311"/>
      <c r="I848" s="311"/>
      <c r="L848" s="311"/>
      <c r="M848" s="311"/>
      <c r="N848" s="311"/>
      <c r="Q848" s="311"/>
    </row>
    <row r="849" ht="15.75" customHeight="1">
      <c r="G849" s="311"/>
      <c r="H849" s="311"/>
      <c r="I849" s="311"/>
      <c r="L849" s="311"/>
      <c r="M849" s="311"/>
      <c r="N849" s="311"/>
      <c r="Q849" s="311"/>
    </row>
    <row r="850" ht="15.75" customHeight="1">
      <c r="G850" s="311"/>
      <c r="H850" s="311"/>
      <c r="I850" s="311"/>
      <c r="L850" s="311"/>
      <c r="M850" s="311"/>
      <c r="N850" s="311"/>
      <c r="Q850" s="311"/>
    </row>
    <row r="851" ht="15.75" customHeight="1">
      <c r="G851" s="311"/>
      <c r="H851" s="311"/>
      <c r="I851" s="311"/>
      <c r="L851" s="311"/>
      <c r="M851" s="311"/>
      <c r="N851" s="311"/>
      <c r="Q851" s="311"/>
    </row>
    <row r="852" ht="15.75" customHeight="1">
      <c r="G852" s="311"/>
      <c r="H852" s="311"/>
      <c r="I852" s="311"/>
      <c r="L852" s="311"/>
      <c r="M852" s="311"/>
      <c r="N852" s="311"/>
      <c r="Q852" s="311"/>
    </row>
    <row r="853" ht="15.75" customHeight="1">
      <c r="G853" s="311"/>
      <c r="H853" s="311"/>
      <c r="I853" s="311"/>
      <c r="L853" s="311"/>
      <c r="M853" s="311"/>
      <c r="N853" s="311"/>
      <c r="Q853" s="311"/>
    </row>
    <row r="854" ht="15.75" customHeight="1">
      <c r="G854" s="311"/>
      <c r="H854" s="311"/>
      <c r="I854" s="311"/>
      <c r="L854" s="311"/>
      <c r="M854" s="311"/>
      <c r="N854" s="311"/>
      <c r="Q854" s="311"/>
    </row>
    <row r="855" ht="15.75" customHeight="1">
      <c r="G855" s="311"/>
      <c r="H855" s="311"/>
      <c r="I855" s="311"/>
      <c r="L855" s="311"/>
      <c r="M855" s="311"/>
      <c r="N855" s="311"/>
      <c r="Q855" s="311"/>
    </row>
    <row r="856" ht="15.75" customHeight="1">
      <c r="G856" s="311"/>
      <c r="H856" s="311"/>
      <c r="I856" s="311"/>
      <c r="L856" s="311"/>
      <c r="M856" s="311"/>
      <c r="N856" s="311"/>
      <c r="Q856" s="311"/>
    </row>
    <row r="857" ht="15.75" customHeight="1">
      <c r="G857" s="311"/>
      <c r="H857" s="311"/>
      <c r="I857" s="311"/>
      <c r="L857" s="311"/>
      <c r="M857" s="311"/>
      <c r="N857" s="311"/>
      <c r="Q857" s="311"/>
    </row>
    <row r="858" ht="15.75" customHeight="1">
      <c r="G858" s="311"/>
      <c r="H858" s="311"/>
      <c r="I858" s="311"/>
      <c r="L858" s="311"/>
      <c r="M858" s="311"/>
      <c r="N858" s="311"/>
      <c r="Q858" s="311"/>
    </row>
    <row r="859" ht="15.75" customHeight="1">
      <c r="G859" s="311"/>
      <c r="H859" s="311"/>
      <c r="I859" s="311"/>
      <c r="L859" s="311"/>
      <c r="M859" s="311"/>
      <c r="N859" s="311"/>
      <c r="Q859" s="311"/>
    </row>
    <row r="860" ht="15.75" customHeight="1">
      <c r="G860" s="311"/>
      <c r="H860" s="311"/>
      <c r="I860" s="311"/>
      <c r="L860" s="311"/>
      <c r="M860" s="311"/>
      <c r="N860" s="311"/>
      <c r="Q860" s="311"/>
    </row>
    <row r="861" ht="15.75" customHeight="1">
      <c r="G861" s="311"/>
      <c r="H861" s="311"/>
      <c r="I861" s="311"/>
      <c r="L861" s="311"/>
      <c r="M861" s="311"/>
      <c r="N861" s="311"/>
      <c r="Q861" s="311"/>
    </row>
    <row r="862" ht="15.75" customHeight="1">
      <c r="G862" s="311"/>
      <c r="H862" s="311"/>
      <c r="I862" s="311"/>
      <c r="L862" s="311"/>
      <c r="M862" s="311"/>
      <c r="N862" s="311"/>
      <c r="Q862" s="311"/>
    </row>
    <row r="863" ht="15.75" customHeight="1">
      <c r="G863" s="311"/>
      <c r="H863" s="311"/>
      <c r="I863" s="311"/>
      <c r="L863" s="311"/>
      <c r="M863" s="311"/>
      <c r="N863" s="311"/>
      <c r="Q863" s="311"/>
    </row>
    <row r="864" ht="15.75" customHeight="1">
      <c r="G864" s="311"/>
      <c r="H864" s="311"/>
      <c r="I864" s="311"/>
      <c r="L864" s="311"/>
      <c r="M864" s="311"/>
      <c r="N864" s="311"/>
      <c r="Q864" s="311"/>
    </row>
    <row r="865" ht="15.75" customHeight="1">
      <c r="G865" s="311"/>
      <c r="H865" s="311"/>
      <c r="I865" s="311"/>
      <c r="L865" s="311"/>
      <c r="M865" s="311"/>
      <c r="N865" s="311"/>
      <c r="Q865" s="311"/>
    </row>
    <row r="866" ht="15.75" customHeight="1">
      <c r="G866" s="311"/>
      <c r="H866" s="311"/>
      <c r="I866" s="311"/>
      <c r="L866" s="311"/>
      <c r="M866" s="311"/>
      <c r="N866" s="311"/>
      <c r="Q866" s="311"/>
    </row>
    <row r="867" ht="15.75" customHeight="1">
      <c r="G867" s="311"/>
      <c r="H867" s="311"/>
      <c r="I867" s="311"/>
      <c r="L867" s="311"/>
      <c r="M867" s="311"/>
      <c r="N867" s="311"/>
      <c r="Q867" s="311"/>
    </row>
    <row r="868" ht="15.75" customHeight="1">
      <c r="G868" s="311"/>
      <c r="H868" s="311"/>
      <c r="I868" s="311"/>
      <c r="L868" s="311"/>
      <c r="M868" s="311"/>
      <c r="N868" s="311"/>
      <c r="Q868" s="311"/>
    </row>
    <row r="869" ht="15.75" customHeight="1">
      <c r="G869" s="311"/>
      <c r="H869" s="311"/>
      <c r="I869" s="311"/>
      <c r="L869" s="311"/>
      <c r="M869" s="311"/>
      <c r="N869" s="311"/>
      <c r="Q869" s="311"/>
    </row>
    <row r="870" ht="15.75" customHeight="1">
      <c r="G870" s="311"/>
      <c r="H870" s="311"/>
      <c r="I870" s="311"/>
      <c r="L870" s="311"/>
      <c r="M870" s="311"/>
      <c r="N870" s="311"/>
      <c r="Q870" s="311"/>
    </row>
    <row r="871" ht="15.75" customHeight="1">
      <c r="G871" s="311"/>
      <c r="H871" s="311"/>
      <c r="I871" s="311"/>
      <c r="L871" s="311"/>
      <c r="M871" s="311"/>
      <c r="N871" s="311"/>
      <c r="Q871" s="311"/>
    </row>
    <row r="872" ht="15.75" customHeight="1">
      <c r="G872" s="311"/>
      <c r="H872" s="311"/>
      <c r="I872" s="311"/>
      <c r="L872" s="311"/>
      <c r="M872" s="311"/>
      <c r="N872" s="311"/>
      <c r="Q872" s="311"/>
    </row>
    <row r="873" ht="15.75" customHeight="1">
      <c r="G873" s="311"/>
      <c r="H873" s="311"/>
      <c r="I873" s="311"/>
      <c r="L873" s="311"/>
      <c r="M873" s="311"/>
      <c r="N873" s="311"/>
      <c r="Q873" s="311"/>
    </row>
    <row r="874" ht="15.75" customHeight="1">
      <c r="G874" s="311"/>
      <c r="H874" s="311"/>
      <c r="I874" s="311"/>
      <c r="L874" s="311"/>
      <c r="M874" s="311"/>
      <c r="N874" s="311"/>
      <c r="Q874" s="311"/>
    </row>
    <row r="875" ht="15.75" customHeight="1">
      <c r="G875" s="311"/>
      <c r="H875" s="311"/>
      <c r="I875" s="311"/>
      <c r="L875" s="311"/>
      <c r="M875" s="311"/>
      <c r="N875" s="311"/>
      <c r="Q875" s="311"/>
    </row>
    <row r="876" ht="15.75" customHeight="1">
      <c r="G876" s="311"/>
      <c r="H876" s="311"/>
      <c r="I876" s="311"/>
      <c r="L876" s="311"/>
      <c r="M876" s="311"/>
      <c r="N876" s="311"/>
      <c r="Q876" s="311"/>
    </row>
    <row r="877" ht="15.75" customHeight="1">
      <c r="G877" s="311"/>
      <c r="H877" s="311"/>
      <c r="I877" s="311"/>
      <c r="L877" s="311"/>
      <c r="M877" s="311"/>
      <c r="N877" s="311"/>
      <c r="Q877" s="311"/>
    </row>
    <row r="878" ht="15.75" customHeight="1">
      <c r="G878" s="311"/>
      <c r="H878" s="311"/>
      <c r="I878" s="311"/>
      <c r="L878" s="311"/>
      <c r="M878" s="311"/>
      <c r="N878" s="311"/>
      <c r="Q878" s="311"/>
    </row>
    <row r="879" ht="15.75" customHeight="1">
      <c r="G879" s="311"/>
      <c r="H879" s="311"/>
      <c r="I879" s="311"/>
      <c r="L879" s="311"/>
      <c r="M879" s="311"/>
      <c r="N879" s="311"/>
      <c r="Q879" s="311"/>
    </row>
    <row r="880" ht="15.75" customHeight="1">
      <c r="G880" s="311"/>
      <c r="H880" s="311"/>
      <c r="I880" s="311"/>
      <c r="L880" s="311"/>
      <c r="M880" s="311"/>
      <c r="N880" s="311"/>
      <c r="Q880" s="311"/>
    </row>
    <row r="881" ht="15.75" customHeight="1">
      <c r="G881" s="311"/>
      <c r="H881" s="311"/>
      <c r="I881" s="311"/>
      <c r="L881" s="311"/>
      <c r="M881" s="311"/>
      <c r="N881" s="311"/>
      <c r="Q881" s="311"/>
    </row>
    <row r="882" ht="15.75" customHeight="1">
      <c r="G882" s="311"/>
      <c r="H882" s="311"/>
      <c r="I882" s="311"/>
      <c r="L882" s="311"/>
      <c r="M882" s="311"/>
      <c r="N882" s="311"/>
      <c r="Q882" s="311"/>
    </row>
    <row r="883" ht="15.75" customHeight="1">
      <c r="G883" s="311"/>
      <c r="H883" s="311"/>
      <c r="I883" s="311"/>
      <c r="L883" s="311"/>
      <c r="M883" s="311"/>
      <c r="N883" s="311"/>
      <c r="Q883" s="311"/>
    </row>
    <row r="884" ht="15.75" customHeight="1">
      <c r="G884" s="311"/>
      <c r="H884" s="311"/>
      <c r="I884" s="311"/>
      <c r="L884" s="311"/>
      <c r="M884" s="311"/>
      <c r="N884" s="311"/>
      <c r="Q884" s="311"/>
    </row>
    <row r="885" ht="15.75" customHeight="1">
      <c r="G885" s="311"/>
      <c r="H885" s="311"/>
      <c r="I885" s="311"/>
      <c r="L885" s="311"/>
      <c r="M885" s="311"/>
      <c r="N885" s="311"/>
      <c r="Q885" s="311"/>
    </row>
    <row r="886" ht="15.75" customHeight="1">
      <c r="G886" s="311"/>
      <c r="H886" s="311"/>
      <c r="I886" s="311"/>
      <c r="L886" s="311"/>
      <c r="M886" s="311"/>
      <c r="N886" s="311"/>
      <c r="Q886" s="311"/>
    </row>
    <row r="887" ht="15.75" customHeight="1">
      <c r="G887" s="311"/>
      <c r="H887" s="311"/>
      <c r="I887" s="311"/>
      <c r="L887" s="311"/>
      <c r="M887" s="311"/>
      <c r="N887" s="311"/>
      <c r="Q887" s="311"/>
    </row>
    <row r="888" ht="15.75" customHeight="1">
      <c r="G888" s="311"/>
      <c r="H888" s="311"/>
      <c r="I888" s="311"/>
      <c r="L888" s="311"/>
      <c r="M888" s="311"/>
      <c r="N888" s="311"/>
      <c r="Q888" s="311"/>
    </row>
    <row r="889" ht="15.75" customHeight="1">
      <c r="G889" s="311"/>
      <c r="H889" s="311"/>
      <c r="I889" s="311"/>
      <c r="L889" s="311"/>
      <c r="M889" s="311"/>
      <c r="N889" s="311"/>
      <c r="Q889" s="311"/>
    </row>
    <row r="890" ht="15.75" customHeight="1">
      <c r="G890" s="311"/>
      <c r="H890" s="311"/>
      <c r="I890" s="311"/>
      <c r="L890" s="311"/>
      <c r="M890" s="311"/>
      <c r="N890" s="311"/>
      <c r="Q890" s="311"/>
    </row>
    <row r="891" ht="15.75" customHeight="1">
      <c r="G891" s="311"/>
      <c r="H891" s="311"/>
      <c r="I891" s="311"/>
      <c r="L891" s="311"/>
      <c r="M891" s="311"/>
      <c r="N891" s="311"/>
      <c r="Q891" s="311"/>
    </row>
    <row r="892" ht="15.75" customHeight="1">
      <c r="G892" s="311"/>
      <c r="H892" s="311"/>
      <c r="I892" s="311"/>
      <c r="L892" s="311"/>
      <c r="M892" s="311"/>
      <c r="N892" s="311"/>
      <c r="Q892" s="311"/>
    </row>
    <row r="893" ht="15.75" customHeight="1">
      <c r="G893" s="311"/>
      <c r="H893" s="311"/>
      <c r="I893" s="311"/>
      <c r="L893" s="311"/>
      <c r="M893" s="311"/>
      <c r="N893" s="311"/>
      <c r="Q893" s="311"/>
    </row>
    <row r="894" ht="15.75" customHeight="1">
      <c r="G894" s="311"/>
      <c r="H894" s="311"/>
      <c r="I894" s="311"/>
      <c r="L894" s="311"/>
      <c r="M894" s="311"/>
      <c r="N894" s="311"/>
      <c r="Q894" s="311"/>
    </row>
    <row r="895" ht="15.75" customHeight="1">
      <c r="G895" s="311"/>
      <c r="H895" s="311"/>
      <c r="I895" s="311"/>
      <c r="L895" s="311"/>
      <c r="M895" s="311"/>
      <c r="N895" s="311"/>
      <c r="Q895" s="311"/>
    </row>
    <row r="896" ht="15.75" customHeight="1">
      <c r="G896" s="311"/>
      <c r="H896" s="311"/>
      <c r="I896" s="311"/>
      <c r="L896" s="311"/>
      <c r="M896" s="311"/>
      <c r="N896" s="311"/>
      <c r="Q896" s="311"/>
    </row>
    <row r="897" ht="15.75" customHeight="1">
      <c r="G897" s="311"/>
      <c r="H897" s="311"/>
      <c r="I897" s="311"/>
      <c r="L897" s="311"/>
      <c r="M897" s="311"/>
      <c r="N897" s="311"/>
      <c r="Q897" s="311"/>
    </row>
    <row r="898" ht="15.75" customHeight="1">
      <c r="G898" s="311"/>
      <c r="H898" s="311"/>
      <c r="I898" s="311"/>
      <c r="L898" s="311"/>
      <c r="M898" s="311"/>
      <c r="N898" s="311"/>
      <c r="Q898" s="311"/>
    </row>
    <row r="899" ht="15.75" customHeight="1">
      <c r="G899" s="311"/>
      <c r="H899" s="311"/>
      <c r="I899" s="311"/>
      <c r="L899" s="311"/>
      <c r="M899" s="311"/>
      <c r="N899" s="311"/>
      <c r="Q899" s="311"/>
    </row>
    <row r="900" ht="15.75" customHeight="1">
      <c r="G900" s="311"/>
      <c r="H900" s="311"/>
      <c r="I900" s="311"/>
      <c r="L900" s="311"/>
      <c r="M900" s="311"/>
      <c r="N900" s="311"/>
      <c r="Q900" s="311"/>
    </row>
    <row r="901" ht="15.75" customHeight="1">
      <c r="G901" s="311"/>
      <c r="H901" s="311"/>
      <c r="I901" s="311"/>
      <c r="L901" s="311"/>
      <c r="M901" s="311"/>
      <c r="N901" s="311"/>
      <c r="Q901" s="311"/>
    </row>
    <row r="902" ht="15.75" customHeight="1">
      <c r="G902" s="311"/>
      <c r="H902" s="311"/>
      <c r="I902" s="311"/>
      <c r="L902" s="311"/>
      <c r="M902" s="311"/>
      <c r="N902" s="311"/>
      <c r="Q902" s="311"/>
    </row>
    <row r="903" ht="15.75" customHeight="1">
      <c r="G903" s="311"/>
      <c r="H903" s="311"/>
      <c r="I903" s="311"/>
      <c r="L903" s="311"/>
      <c r="M903" s="311"/>
      <c r="N903" s="311"/>
      <c r="Q903" s="311"/>
    </row>
    <row r="904" ht="15.75" customHeight="1">
      <c r="G904" s="311"/>
      <c r="H904" s="311"/>
      <c r="I904" s="311"/>
      <c r="L904" s="311"/>
      <c r="M904" s="311"/>
      <c r="N904" s="311"/>
      <c r="Q904" s="311"/>
    </row>
    <row r="905" ht="15.75" customHeight="1">
      <c r="G905" s="311"/>
      <c r="H905" s="311"/>
      <c r="I905" s="311"/>
      <c r="L905" s="311"/>
      <c r="M905" s="311"/>
      <c r="N905" s="311"/>
      <c r="Q905" s="311"/>
    </row>
    <row r="906" ht="15.75" customHeight="1">
      <c r="G906" s="311"/>
      <c r="H906" s="311"/>
      <c r="I906" s="311"/>
      <c r="L906" s="311"/>
      <c r="M906" s="311"/>
      <c r="N906" s="311"/>
      <c r="Q906" s="311"/>
    </row>
    <row r="907" ht="15.75" customHeight="1">
      <c r="G907" s="311"/>
      <c r="H907" s="311"/>
      <c r="I907" s="311"/>
      <c r="L907" s="311"/>
      <c r="M907" s="311"/>
      <c r="N907" s="311"/>
      <c r="Q907" s="311"/>
    </row>
    <row r="908" ht="15.75" customHeight="1">
      <c r="G908" s="311"/>
      <c r="H908" s="311"/>
      <c r="I908" s="311"/>
      <c r="L908" s="311"/>
      <c r="M908" s="311"/>
      <c r="N908" s="311"/>
      <c r="Q908" s="311"/>
    </row>
    <row r="909" ht="15.75" customHeight="1">
      <c r="G909" s="311"/>
      <c r="H909" s="311"/>
      <c r="I909" s="311"/>
      <c r="L909" s="311"/>
      <c r="M909" s="311"/>
      <c r="N909" s="311"/>
      <c r="Q909" s="311"/>
    </row>
    <row r="910" ht="15.75" customHeight="1">
      <c r="G910" s="311"/>
      <c r="H910" s="311"/>
      <c r="I910" s="311"/>
      <c r="L910" s="311"/>
      <c r="M910" s="311"/>
      <c r="N910" s="311"/>
      <c r="Q910" s="311"/>
    </row>
    <row r="911" ht="15.75" customHeight="1">
      <c r="G911" s="311"/>
      <c r="H911" s="311"/>
      <c r="I911" s="311"/>
      <c r="L911" s="311"/>
      <c r="M911" s="311"/>
      <c r="N911" s="311"/>
      <c r="Q911" s="311"/>
    </row>
    <row r="912" ht="15.75" customHeight="1">
      <c r="G912" s="311"/>
      <c r="H912" s="311"/>
      <c r="I912" s="311"/>
      <c r="L912" s="311"/>
      <c r="M912" s="311"/>
      <c r="N912" s="311"/>
      <c r="Q912" s="311"/>
    </row>
    <row r="913" ht="15.75" customHeight="1">
      <c r="G913" s="311"/>
      <c r="H913" s="311"/>
      <c r="I913" s="311"/>
      <c r="L913" s="311"/>
      <c r="M913" s="311"/>
      <c r="N913" s="311"/>
      <c r="Q913" s="311"/>
    </row>
    <row r="914" ht="15.75" customHeight="1">
      <c r="G914" s="311"/>
      <c r="H914" s="311"/>
      <c r="I914" s="311"/>
      <c r="L914" s="311"/>
      <c r="M914" s="311"/>
      <c r="N914" s="311"/>
      <c r="Q914" s="311"/>
    </row>
    <row r="915" ht="15.75" customHeight="1">
      <c r="G915" s="311"/>
      <c r="H915" s="311"/>
      <c r="I915" s="311"/>
      <c r="L915" s="311"/>
      <c r="M915" s="311"/>
      <c r="N915" s="311"/>
      <c r="Q915" s="311"/>
    </row>
    <row r="916" ht="15.75" customHeight="1">
      <c r="G916" s="311"/>
      <c r="H916" s="311"/>
      <c r="I916" s="311"/>
      <c r="L916" s="311"/>
      <c r="M916" s="311"/>
      <c r="N916" s="311"/>
      <c r="Q916" s="311"/>
    </row>
    <row r="917" ht="15.75" customHeight="1">
      <c r="G917" s="311"/>
      <c r="H917" s="311"/>
      <c r="I917" s="311"/>
      <c r="L917" s="311"/>
      <c r="M917" s="311"/>
      <c r="N917" s="311"/>
      <c r="Q917" s="311"/>
    </row>
    <row r="918" ht="15.75" customHeight="1">
      <c r="G918" s="311"/>
      <c r="H918" s="311"/>
      <c r="I918" s="311"/>
      <c r="L918" s="311"/>
      <c r="M918" s="311"/>
      <c r="N918" s="311"/>
      <c r="Q918" s="311"/>
    </row>
    <row r="919" ht="15.75" customHeight="1">
      <c r="G919" s="311"/>
      <c r="H919" s="311"/>
      <c r="I919" s="311"/>
      <c r="L919" s="311"/>
      <c r="M919" s="311"/>
      <c r="N919" s="311"/>
      <c r="Q919" s="311"/>
    </row>
    <row r="920" ht="15.75" customHeight="1">
      <c r="G920" s="311"/>
      <c r="H920" s="311"/>
      <c r="I920" s="311"/>
      <c r="L920" s="311"/>
      <c r="M920" s="311"/>
      <c r="N920" s="311"/>
      <c r="Q920" s="311"/>
    </row>
    <row r="921" ht="15.75" customHeight="1">
      <c r="G921" s="311"/>
      <c r="H921" s="311"/>
      <c r="I921" s="311"/>
      <c r="L921" s="311"/>
      <c r="M921" s="311"/>
      <c r="N921" s="311"/>
      <c r="Q921" s="311"/>
    </row>
    <row r="922" ht="15.75" customHeight="1">
      <c r="G922" s="311"/>
      <c r="H922" s="311"/>
      <c r="I922" s="311"/>
      <c r="L922" s="311"/>
      <c r="M922" s="311"/>
      <c r="N922" s="311"/>
      <c r="Q922" s="311"/>
    </row>
    <row r="923" ht="15.75" customHeight="1">
      <c r="G923" s="311"/>
      <c r="H923" s="311"/>
      <c r="I923" s="311"/>
      <c r="L923" s="311"/>
      <c r="M923" s="311"/>
      <c r="N923" s="311"/>
      <c r="Q923" s="311"/>
    </row>
    <row r="924" ht="15.75" customHeight="1">
      <c r="G924" s="311"/>
      <c r="H924" s="311"/>
      <c r="I924" s="311"/>
      <c r="L924" s="311"/>
      <c r="M924" s="311"/>
      <c r="N924" s="311"/>
      <c r="Q924" s="311"/>
    </row>
    <row r="925" ht="15.75" customHeight="1">
      <c r="G925" s="311"/>
      <c r="H925" s="311"/>
      <c r="I925" s="311"/>
      <c r="L925" s="311"/>
      <c r="M925" s="311"/>
      <c r="N925" s="311"/>
      <c r="Q925" s="311"/>
    </row>
    <row r="926" ht="15.75" customHeight="1">
      <c r="G926" s="311"/>
      <c r="H926" s="311"/>
      <c r="I926" s="311"/>
      <c r="L926" s="311"/>
      <c r="M926" s="311"/>
      <c r="N926" s="311"/>
      <c r="Q926" s="311"/>
    </row>
    <row r="927" ht="15.75" customHeight="1">
      <c r="G927" s="311"/>
      <c r="H927" s="311"/>
      <c r="I927" s="311"/>
      <c r="L927" s="311"/>
      <c r="M927" s="311"/>
      <c r="N927" s="311"/>
      <c r="Q927" s="311"/>
    </row>
    <row r="928" ht="15.75" customHeight="1">
      <c r="G928" s="311"/>
      <c r="H928" s="311"/>
      <c r="I928" s="311"/>
      <c r="L928" s="311"/>
      <c r="M928" s="311"/>
      <c r="N928" s="311"/>
      <c r="Q928" s="311"/>
    </row>
    <row r="929" ht="15.75" customHeight="1">
      <c r="G929" s="311"/>
      <c r="H929" s="311"/>
      <c r="I929" s="311"/>
      <c r="L929" s="311"/>
      <c r="M929" s="311"/>
      <c r="N929" s="311"/>
      <c r="Q929" s="311"/>
    </row>
    <row r="930" ht="15.75" customHeight="1">
      <c r="G930" s="311"/>
      <c r="H930" s="311"/>
      <c r="I930" s="311"/>
      <c r="L930" s="311"/>
      <c r="M930" s="311"/>
      <c r="N930" s="311"/>
      <c r="Q930" s="311"/>
    </row>
    <row r="931" ht="15.75" customHeight="1">
      <c r="G931" s="311"/>
      <c r="H931" s="311"/>
      <c r="I931" s="311"/>
      <c r="L931" s="311"/>
      <c r="M931" s="311"/>
      <c r="N931" s="311"/>
      <c r="Q931" s="311"/>
    </row>
    <row r="932" ht="15.75" customHeight="1">
      <c r="G932" s="311"/>
      <c r="H932" s="311"/>
      <c r="I932" s="311"/>
      <c r="L932" s="311"/>
      <c r="M932" s="311"/>
      <c r="N932" s="311"/>
      <c r="Q932" s="311"/>
    </row>
    <row r="933" ht="15.75" customHeight="1">
      <c r="G933" s="311"/>
      <c r="H933" s="311"/>
      <c r="I933" s="311"/>
      <c r="L933" s="311"/>
      <c r="M933" s="311"/>
      <c r="N933" s="311"/>
      <c r="Q933" s="311"/>
    </row>
    <row r="934" ht="15.75" customHeight="1">
      <c r="G934" s="311"/>
      <c r="H934" s="311"/>
      <c r="I934" s="311"/>
      <c r="L934" s="311"/>
      <c r="M934" s="311"/>
      <c r="N934" s="311"/>
      <c r="Q934" s="311"/>
    </row>
    <row r="935" ht="15.75" customHeight="1">
      <c r="G935" s="311"/>
      <c r="H935" s="311"/>
      <c r="I935" s="311"/>
      <c r="L935" s="311"/>
      <c r="M935" s="311"/>
      <c r="N935" s="311"/>
      <c r="Q935" s="311"/>
    </row>
    <row r="936" ht="15.75" customHeight="1">
      <c r="G936" s="311"/>
      <c r="H936" s="311"/>
      <c r="I936" s="311"/>
      <c r="L936" s="311"/>
      <c r="M936" s="311"/>
      <c r="N936" s="311"/>
      <c r="Q936" s="311"/>
    </row>
    <row r="937" ht="15.75" customHeight="1">
      <c r="G937" s="311"/>
      <c r="H937" s="311"/>
      <c r="I937" s="311"/>
      <c r="L937" s="311"/>
      <c r="M937" s="311"/>
      <c r="N937" s="311"/>
      <c r="Q937" s="311"/>
    </row>
    <row r="938" ht="15.75" customHeight="1">
      <c r="G938" s="311"/>
      <c r="H938" s="311"/>
      <c r="I938" s="311"/>
      <c r="L938" s="311"/>
      <c r="M938" s="311"/>
      <c r="N938" s="311"/>
      <c r="Q938" s="311"/>
    </row>
    <row r="939" ht="15.75" customHeight="1">
      <c r="G939" s="311"/>
      <c r="H939" s="311"/>
      <c r="I939" s="311"/>
      <c r="L939" s="311"/>
      <c r="M939" s="311"/>
      <c r="N939" s="311"/>
      <c r="Q939" s="311"/>
    </row>
    <row r="940" ht="15.75" customHeight="1">
      <c r="G940" s="311"/>
      <c r="H940" s="311"/>
      <c r="I940" s="311"/>
      <c r="L940" s="311"/>
      <c r="M940" s="311"/>
      <c r="N940" s="311"/>
      <c r="Q940" s="311"/>
    </row>
    <row r="941" ht="15.75" customHeight="1">
      <c r="G941" s="311"/>
      <c r="H941" s="311"/>
      <c r="I941" s="311"/>
      <c r="L941" s="311"/>
      <c r="M941" s="311"/>
      <c r="N941" s="311"/>
      <c r="Q941" s="311"/>
    </row>
    <row r="942" ht="15.75" customHeight="1">
      <c r="G942" s="311"/>
      <c r="H942" s="311"/>
      <c r="I942" s="311"/>
      <c r="L942" s="311"/>
      <c r="M942" s="311"/>
      <c r="N942" s="311"/>
      <c r="Q942" s="311"/>
    </row>
    <row r="943" ht="15.75" customHeight="1">
      <c r="G943" s="311"/>
      <c r="H943" s="311"/>
      <c r="I943" s="311"/>
      <c r="L943" s="311"/>
      <c r="M943" s="311"/>
      <c r="N943" s="311"/>
      <c r="Q943" s="311"/>
    </row>
    <row r="944" ht="15.75" customHeight="1">
      <c r="G944" s="311"/>
      <c r="H944" s="311"/>
      <c r="I944" s="311"/>
      <c r="L944" s="311"/>
      <c r="M944" s="311"/>
      <c r="N944" s="311"/>
      <c r="Q944" s="311"/>
    </row>
    <row r="945" ht="15.75" customHeight="1">
      <c r="G945" s="311"/>
      <c r="H945" s="311"/>
      <c r="I945" s="311"/>
      <c r="L945" s="311"/>
      <c r="M945" s="311"/>
      <c r="N945" s="311"/>
      <c r="Q945" s="311"/>
    </row>
    <row r="946" ht="15.75" customHeight="1">
      <c r="G946" s="311"/>
      <c r="H946" s="311"/>
      <c r="I946" s="311"/>
      <c r="L946" s="311"/>
      <c r="M946" s="311"/>
      <c r="N946" s="311"/>
      <c r="Q946" s="311"/>
    </row>
    <row r="947" ht="15.75" customHeight="1">
      <c r="G947" s="311"/>
      <c r="H947" s="311"/>
      <c r="I947" s="311"/>
      <c r="L947" s="311"/>
      <c r="M947" s="311"/>
      <c r="N947" s="311"/>
      <c r="Q947" s="311"/>
    </row>
    <row r="948" ht="15.75" customHeight="1">
      <c r="G948" s="311"/>
      <c r="H948" s="311"/>
      <c r="I948" s="311"/>
      <c r="L948" s="311"/>
      <c r="M948" s="311"/>
      <c r="N948" s="311"/>
      <c r="Q948" s="311"/>
    </row>
    <row r="949" ht="15.75" customHeight="1">
      <c r="G949" s="311"/>
      <c r="H949" s="311"/>
      <c r="I949" s="311"/>
      <c r="L949" s="311"/>
      <c r="M949" s="311"/>
      <c r="N949" s="311"/>
      <c r="Q949" s="311"/>
    </row>
    <row r="950" ht="15.75" customHeight="1">
      <c r="G950" s="311"/>
      <c r="H950" s="311"/>
      <c r="I950" s="311"/>
      <c r="L950" s="311"/>
      <c r="M950" s="311"/>
      <c r="N950" s="311"/>
      <c r="Q950" s="311"/>
    </row>
    <row r="951" ht="15.75" customHeight="1">
      <c r="G951" s="311"/>
      <c r="H951" s="311"/>
      <c r="I951" s="311"/>
      <c r="L951" s="311"/>
      <c r="M951" s="311"/>
      <c r="N951" s="311"/>
      <c r="Q951" s="311"/>
    </row>
    <row r="952" ht="15.75" customHeight="1">
      <c r="G952" s="311"/>
      <c r="H952" s="311"/>
      <c r="I952" s="311"/>
      <c r="L952" s="311"/>
      <c r="M952" s="311"/>
      <c r="N952" s="311"/>
      <c r="Q952" s="311"/>
    </row>
    <row r="953" ht="15.75" customHeight="1">
      <c r="G953" s="311"/>
      <c r="H953" s="311"/>
      <c r="I953" s="311"/>
      <c r="L953" s="311"/>
      <c r="M953" s="311"/>
      <c r="N953" s="311"/>
      <c r="Q953" s="311"/>
    </row>
    <row r="954" ht="15.75" customHeight="1">
      <c r="G954" s="311"/>
      <c r="H954" s="311"/>
      <c r="I954" s="311"/>
      <c r="L954" s="311"/>
      <c r="M954" s="311"/>
      <c r="N954" s="311"/>
      <c r="Q954" s="311"/>
    </row>
    <row r="955" ht="15.75" customHeight="1">
      <c r="G955" s="311"/>
      <c r="H955" s="311"/>
      <c r="I955" s="311"/>
      <c r="L955" s="311"/>
      <c r="M955" s="311"/>
      <c r="N955" s="311"/>
      <c r="Q955" s="311"/>
    </row>
    <row r="956" ht="15.75" customHeight="1">
      <c r="G956" s="311"/>
      <c r="H956" s="311"/>
      <c r="I956" s="311"/>
      <c r="L956" s="311"/>
      <c r="M956" s="311"/>
      <c r="N956" s="311"/>
      <c r="Q956" s="311"/>
    </row>
    <row r="957" ht="15.75" customHeight="1">
      <c r="G957" s="311"/>
      <c r="H957" s="311"/>
      <c r="I957" s="311"/>
      <c r="L957" s="311"/>
      <c r="M957" s="311"/>
      <c r="N957" s="311"/>
      <c r="Q957" s="311"/>
    </row>
    <row r="958" ht="15.75" customHeight="1">
      <c r="G958" s="311"/>
      <c r="H958" s="311"/>
      <c r="I958" s="311"/>
      <c r="L958" s="311"/>
      <c r="M958" s="311"/>
      <c r="N958" s="311"/>
      <c r="Q958" s="311"/>
    </row>
    <row r="959" ht="15.75" customHeight="1">
      <c r="G959" s="311"/>
      <c r="H959" s="311"/>
      <c r="I959" s="311"/>
      <c r="L959" s="311"/>
      <c r="M959" s="311"/>
      <c r="N959" s="311"/>
      <c r="Q959" s="311"/>
    </row>
    <row r="960" ht="15.75" customHeight="1">
      <c r="G960" s="311"/>
      <c r="H960" s="311"/>
      <c r="I960" s="311"/>
      <c r="L960" s="311"/>
      <c r="M960" s="311"/>
      <c r="N960" s="311"/>
      <c r="Q960" s="311"/>
    </row>
    <row r="961" ht="15.75" customHeight="1">
      <c r="G961" s="311"/>
      <c r="H961" s="311"/>
      <c r="I961" s="311"/>
      <c r="L961" s="311"/>
      <c r="M961" s="311"/>
      <c r="N961" s="311"/>
      <c r="Q961" s="311"/>
    </row>
    <row r="962" ht="15.75" customHeight="1">
      <c r="G962" s="311"/>
      <c r="H962" s="311"/>
      <c r="I962" s="311"/>
      <c r="L962" s="311"/>
      <c r="M962" s="311"/>
      <c r="N962" s="311"/>
      <c r="Q962" s="311"/>
    </row>
    <row r="963" ht="15.75" customHeight="1">
      <c r="G963" s="311"/>
      <c r="H963" s="311"/>
      <c r="I963" s="311"/>
      <c r="L963" s="311"/>
      <c r="M963" s="311"/>
      <c r="N963" s="311"/>
      <c r="Q963" s="311"/>
    </row>
    <row r="964" ht="15.75" customHeight="1">
      <c r="G964" s="311"/>
      <c r="H964" s="311"/>
      <c r="I964" s="311"/>
      <c r="L964" s="311"/>
      <c r="M964" s="311"/>
      <c r="N964" s="311"/>
      <c r="Q964" s="311"/>
    </row>
    <row r="965" ht="15.75" customHeight="1">
      <c r="G965" s="311"/>
      <c r="H965" s="311"/>
      <c r="I965" s="311"/>
      <c r="L965" s="311"/>
      <c r="M965" s="311"/>
      <c r="N965" s="311"/>
      <c r="Q965" s="311"/>
    </row>
    <row r="966" ht="15.75" customHeight="1">
      <c r="G966" s="311"/>
      <c r="H966" s="311"/>
      <c r="I966" s="311"/>
      <c r="L966" s="311"/>
      <c r="M966" s="311"/>
      <c r="N966" s="311"/>
      <c r="Q966" s="311"/>
    </row>
    <row r="967" ht="15.75" customHeight="1">
      <c r="G967" s="311"/>
      <c r="H967" s="311"/>
      <c r="I967" s="311"/>
      <c r="L967" s="311"/>
      <c r="M967" s="311"/>
      <c r="N967" s="311"/>
      <c r="Q967" s="311"/>
    </row>
    <row r="968" ht="15.75" customHeight="1">
      <c r="G968" s="311"/>
      <c r="H968" s="311"/>
      <c r="I968" s="311"/>
      <c r="L968" s="311"/>
      <c r="M968" s="311"/>
      <c r="N968" s="311"/>
      <c r="Q968" s="311"/>
    </row>
    <row r="969" ht="15.75" customHeight="1">
      <c r="G969" s="311"/>
      <c r="H969" s="311"/>
      <c r="I969" s="311"/>
      <c r="L969" s="311"/>
      <c r="M969" s="311"/>
      <c r="N969" s="311"/>
      <c r="Q969" s="311"/>
    </row>
    <row r="970" ht="15.75" customHeight="1">
      <c r="G970" s="311"/>
      <c r="H970" s="311"/>
      <c r="I970" s="311"/>
      <c r="L970" s="311"/>
      <c r="M970" s="311"/>
      <c r="N970" s="311"/>
      <c r="Q970" s="311"/>
    </row>
    <row r="971" ht="15.75" customHeight="1">
      <c r="G971" s="311"/>
      <c r="H971" s="311"/>
      <c r="I971" s="311"/>
      <c r="L971" s="311"/>
      <c r="M971" s="311"/>
      <c r="N971" s="311"/>
      <c r="Q971" s="311"/>
    </row>
    <row r="972" ht="15.75" customHeight="1">
      <c r="G972" s="311"/>
      <c r="H972" s="311"/>
      <c r="I972" s="311"/>
      <c r="L972" s="311"/>
      <c r="M972" s="311"/>
      <c r="N972" s="311"/>
      <c r="Q972" s="311"/>
    </row>
    <row r="973" ht="15.75" customHeight="1">
      <c r="G973" s="311"/>
      <c r="H973" s="311"/>
      <c r="I973" s="311"/>
      <c r="L973" s="311"/>
      <c r="M973" s="311"/>
      <c r="N973" s="311"/>
      <c r="Q973" s="311"/>
    </row>
    <row r="974" ht="15.75" customHeight="1">
      <c r="G974" s="311"/>
      <c r="H974" s="311"/>
      <c r="I974" s="311"/>
      <c r="L974" s="311"/>
      <c r="M974" s="311"/>
      <c r="N974" s="311"/>
      <c r="Q974" s="311"/>
    </row>
    <row r="975" ht="15.75" customHeight="1">
      <c r="G975" s="311"/>
      <c r="H975" s="311"/>
      <c r="I975" s="311"/>
      <c r="L975" s="311"/>
      <c r="M975" s="311"/>
      <c r="N975" s="311"/>
      <c r="Q975" s="311"/>
    </row>
    <row r="976" ht="15.75" customHeight="1">
      <c r="G976" s="311"/>
      <c r="H976" s="311"/>
      <c r="I976" s="311"/>
      <c r="L976" s="311"/>
      <c r="M976" s="311"/>
      <c r="N976" s="311"/>
      <c r="Q976" s="311"/>
    </row>
    <row r="977" ht="15.75" customHeight="1">
      <c r="G977" s="311"/>
      <c r="H977" s="311"/>
      <c r="I977" s="311"/>
      <c r="L977" s="311"/>
      <c r="M977" s="311"/>
      <c r="N977" s="311"/>
      <c r="Q977" s="311"/>
    </row>
    <row r="978" ht="15.75" customHeight="1">
      <c r="G978" s="311"/>
      <c r="H978" s="311"/>
      <c r="I978" s="311"/>
      <c r="L978" s="311"/>
      <c r="M978" s="311"/>
      <c r="N978" s="311"/>
      <c r="Q978" s="311"/>
    </row>
    <row r="979" ht="15.75" customHeight="1">
      <c r="G979" s="311"/>
      <c r="H979" s="311"/>
      <c r="I979" s="311"/>
      <c r="L979" s="311"/>
      <c r="M979" s="311"/>
      <c r="N979" s="311"/>
      <c r="Q979" s="311"/>
    </row>
    <row r="980" ht="15.75" customHeight="1">
      <c r="G980" s="311"/>
      <c r="H980" s="311"/>
      <c r="I980" s="311"/>
      <c r="L980" s="311"/>
      <c r="M980" s="311"/>
      <c r="N980" s="311"/>
      <c r="Q980" s="311"/>
    </row>
    <row r="981" ht="15.75" customHeight="1">
      <c r="G981" s="311"/>
      <c r="H981" s="311"/>
      <c r="I981" s="311"/>
      <c r="L981" s="311"/>
      <c r="M981" s="311"/>
      <c r="N981" s="311"/>
      <c r="Q981" s="311"/>
    </row>
    <row r="982" ht="15.75" customHeight="1">
      <c r="G982" s="311"/>
      <c r="H982" s="311"/>
      <c r="I982" s="311"/>
      <c r="L982" s="311"/>
      <c r="M982" s="311"/>
      <c r="N982" s="311"/>
      <c r="Q982" s="311"/>
    </row>
    <row r="983" ht="15.75" customHeight="1">
      <c r="G983" s="311"/>
      <c r="H983" s="311"/>
      <c r="I983" s="311"/>
      <c r="L983" s="311"/>
      <c r="M983" s="311"/>
      <c r="N983" s="311"/>
      <c r="Q983" s="311"/>
    </row>
    <row r="984" ht="15.75" customHeight="1">
      <c r="G984" s="311"/>
      <c r="H984" s="311"/>
      <c r="I984" s="311"/>
      <c r="L984" s="311"/>
      <c r="M984" s="311"/>
      <c r="N984" s="311"/>
      <c r="Q984" s="311"/>
    </row>
    <row r="985" ht="15.75" customHeight="1">
      <c r="G985" s="311"/>
      <c r="H985" s="311"/>
      <c r="I985" s="311"/>
      <c r="L985" s="311"/>
      <c r="M985" s="311"/>
      <c r="N985" s="311"/>
      <c r="Q985" s="311"/>
    </row>
    <row r="986" ht="15.75" customHeight="1">
      <c r="G986" s="311"/>
      <c r="H986" s="311"/>
      <c r="I986" s="311"/>
      <c r="L986" s="311"/>
      <c r="M986" s="311"/>
      <c r="N986" s="311"/>
      <c r="Q986" s="311"/>
    </row>
    <row r="987" ht="15.75" customHeight="1">
      <c r="G987" s="311"/>
      <c r="H987" s="311"/>
      <c r="I987" s="311"/>
      <c r="L987" s="311"/>
      <c r="M987" s="311"/>
      <c r="N987" s="311"/>
      <c r="Q987" s="311"/>
    </row>
    <row r="988" ht="15.75" customHeight="1">
      <c r="G988" s="311"/>
      <c r="H988" s="311"/>
      <c r="I988" s="311"/>
      <c r="L988" s="311"/>
      <c r="M988" s="311"/>
      <c r="N988" s="311"/>
      <c r="Q988" s="311"/>
    </row>
    <row r="989" ht="15.75" customHeight="1">
      <c r="G989" s="311"/>
      <c r="H989" s="311"/>
      <c r="I989" s="311"/>
      <c r="L989" s="311"/>
      <c r="M989" s="311"/>
      <c r="N989" s="311"/>
      <c r="Q989" s="311"/>
    </row>
    <row r="990" ht="15.75" customHeight="1">
      <c r="G990" s="311"/>
      <c r="H990" s="311"/>
      <c r="I990" s="311"/>
      <c r="L990" s="311"/>
      <c r="M990" s="311"/>
      <c r="N990" s="311"/>
      <c r="Q990" s="311"/>
    </row>
    <row r="991" ht="15.75" customHeight="1">
      <c r="G991" s="311"/>
      <c r="H991" s="311"/>
      <c r="I991" s="311"/>
      <c r="L991" s="311"/>
      <c r="M991" s="311"/>
      <c r="N991" s="311"/>
      <c r="Q991" s="311"/>
    </row>
    <row r="992" ht="15.75" customHeight="1">
      <c r="G992" s="311"/>
      <c r="H992" s="311"/>
      <c r="I992" s="311"/>
      <c r="L992" s="311"/>
      <c r="M992" s="311"/>
      <c r="N992" s="311"/>
      <c r="Q992" s="311"/>
    </row>
    <row r="993" ht="15.75" customHeight="1">
      <c r="G993" s="311"/>
      <c r="H993" s="311"/>
      <c r="I993" s="311"/>
      <c r="L993" s="311"/>
      <c r="M993" s="311"/>
      <c r="N993" s="311"/>
      <c r="Q993" s="311"/>
    </row>
    <row r="994" ht="15.75" customHeight="1">
      <c r="G994" s="311"/>
      <c r="H994" s="311"/>
      <c r="I994" s="311"/>
      <c r="L994" s="311"/>
      <c r="M994" s="311"/>
      <c r="N994" s="311"/>
      <c r="Q994" s="311"/>
    </row>
    <row r="995" ht="15.75" customHeight="1">
      <c r="G995" s="311"/>
      <c r="H995" s="311"/>
      <c r="I995" s="311"/>
      <c r="L995" s="311"/>
      <c r="M995" s="311"/>
      <c r="N995" s="311"/>
      <c r="Q995" s="311"/>
    </row>
    <row r="996" ht="15.75" customHeight="1">
      <c r="G996" s="311"/>
      <c r="H996" s="311"/>
      <c r="I996" s="311"/>
      <c r="L996" s="311"/>
      <c r="M996" s="311"/>
      <c r="N996" s="311"/>
      <c r="Q996" s="311"/>
    </row>
    <row r="997" ht="15.75" customHeight="1">
      <c r="G997" s="311"/>
      <c r="H997" s="311"/>
      <c r="I997" s="311"/>
      <c r="L997" s="311"/>
      <c r="M997" s="311"/>
      <c r="N997" s="311"/>
      <c r="Q997" s="311"/>
    </row>
    <row r="998" ht="15.75" customHeight="1">
      <c r="G998" s="311"/>
      <c r="H998" s="311"/>
      <c r="I998" s="311"/>
      <c r="L998" s="311"/>
      <c r="M998" s="311"/>
      <c r="N998" s="311"/>
      <c r="Q998" s="311"/>
    </row>
    <row r="999" ht="15.75" customHeight="1">
      <c r="G999" s="311"/>
      <c r="H999" s="311"/>
      <c r="I999" s="311"/>
      <c r="L999" s="311"/>
      <c r="M999" s="311"/>
      <c r="N999" s="311"/>
      <c r="Q999" s="311"/>
    </row>
    <row r="1000" ht="15.75" customHeight="1">
      <c r="G1000" s="311"/>
      <c r="H1000" s="311"/>
      <c r="I1000" s="311"/>
      <c r="L1000" s="311"/>
      <c r="M1000" s="311"/>
      <c r="N1000" s="311"/>
      <c r="Q1000" s="311"/>
    </row>
  </sheetData>
  <mergeCells count="5">
    <mergeCell ref="E1:L1"/>
    <mergeCell ref="C21:D21"/>
    <mergeCell ref="C22:D22"/>
    <mergeCell ref="C23:D23"/>
    <mergeCell ref="C24:D2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76DCC"/>
    <pageSetUpPr/>
  </sheetPr>
  <sheetViews>
    <sheetView workbookViewId="0"/>
  </sheetViews>
  <sheetFormatPr customHeight="1" defaultColWidth="11.22" defaultRowHeight="15.0"/>
  <cols>
    <col customWidth="1" min="1" max="1" width="51.67"/>
    <col customWidth="1" min="2" max="2" width="34.44"/>
    <col customWidth="1" min="3" max="6" width="29.67"/>
    <col customWidth="1" min="7" max="7" width="34.44"/>
    <col customWidth="1" min="8" max="8" width="30.0"/>
    <col customWidth="1" min="9" max="9" width="48.33"/>
    <col customWidth="1" min="10" max="10" width="31.67"/>
    <col customWidth="1" min="11" max="11" width="32.67"/>
    <col customWidth="1" min="12" max="12" width="37.11"/>
    <col customWidth="1" min="13" max="26" width="11.11"/>
  </cols>
  <sheetData>
    <row r="1" ht="15.75" customHeight="1">
      <c r="A1" s="301"/>
      <c r="B1" s="302" t="s">
        <v>131</v>
      </c>
      <c r="F1" s="301"/>
      <c r="G1" s="301"/>
      <c r="H1" s="301"/>
      <c r="I1" s="301"/>
      <c r="J1" s="301"/>
    </row>
    <row r="2" ht="15.75" customHeight="1">
      <c r="A2" s="301"/>
      <c r="B2" s="301"/>
      <c r="C2" s="301"/>
      <c r="D2" s="301"/>
      <c r="E2" s="301"/>
      <c r="F2" s="301"/>
      <c r="G2" s="301"/>
      <c r="H2" s="301"/>
      <c r="I2" s="301"/>
      <c r="J2" s="301"/>
    </row>
    <row r="3" ht="15.75" customHeight="1">
      <c r="A3" s="310"/>
      <c r="B3" s="312" t="s">
        <v>136</v>
      </c>
      <c r="C3" s="315" t="s">
        <v>138</v>
      </c>
      <c r="D3" s="103"/>
      <c r="E3" s="103"/>
      <c r="F3" s="103"/>
      <c r="G3" s="16"/>
      <c r="H3" s="318"/>
      <c r="I3" s="318"/>
      <c r="J3" s="318"/>
      <c r="K3" s="319"/>
      <c r="L3" s="319"/>
    </row>
    <row r="4" ht="15.75" customHeight="1">
      <c r="A4" s="322"/>
      <c r="B4" s="324">
        <v>2023.0</v>
      </c>
      <c r="C4" s="326" t="s">
        <v>4</v>
      </c>
      <c r="D4" s="326" t="s">
        <v>6</v>
      </c>
      <c r="E4" s="326" t="s">
        <v>7</v>
      </c>
      <c r="F4" s="326" t="s">
        <v>8</v>
      </c>
      <c r="G4" s="326" t="s">
        <v>9</v>
      </c>
      <c r="H4" s="318"/>
      <c r="I4" s="328" t="s">
        <v>65</v>
      </c>
      <c r="J4" s="16"/>
      <c r="K4" s="319"/>
      <c r="L4" s="319"/>
    </row>
    <row r="5" ht="15.75" customHeight="1">
      <c r="A5" s="322" t="s">
        <v>156</v>
      </c>
      <c r="B5" s="331">
        <v>0.0</v>
      </c>
      <c r="C5" s="331">
        <v>1.0</v>
      </c>
      <c r="D5" s="331">
        <v>2.0</v>
      </c>
      <c r="E5" s="331">
        <v>3.0</v>
      </c>
      <c r="F5" s="331">
        <v>4.0</v>
      </c>
      <c r="G5" s="331">
        <v>5.0</v>
      </c>
      <c r="H5" s="333" t="s">
        <v>159</v>
      </c>
      <c r="I5" s="336" t="s">
        <v>160</v>
      </c>
      <c r="J5" s="338">
        <v>0.3</v>
      </c>
      <c r="K5" s="319"/>
      <c r="L5" s="319"/>
    </row>
    <row r="6" ht="15.75" customHeight="1">
      <c r="A6" s="340" t="s">
        <v>162</v>
      </c>
      <c r="B6" s="347">
        <f>'Fundamental Valuation'!B23</f>
        <v>50800000</v>
      </c>
      <c r="C6" s="347">
        <f>'Fundamental Valuation'!C23*(1+$H$6)</f>
        <v>75031171.92</v>
      </c>
      <c r="D6" s="347">
        <f>'Fundamental Valuation'!D23*(1+$H$6)</f>
        <v>92833376.38</v>
      </c>
      <c r="E6" s="347">
        <f>'Fundamental Valuation'!E23*(1+$H$6)</f>
        <v>157989920.4</v>
      </c>
      <c r="F6" s="347">
        <f>'Fundamental Valuation'!F23*(1+$H$6)</f>
        <v>306859378.4</v>
      </c>
      <c r="G6" s="347">
        <f>'Fundamental Valuation'!G23*(1+$H$6)</f>
        <v>609767516.1</v>
      </c>
      <c r="H6" s="355">
        <v>0.1</v>
      </c>
      <c r="I6" s="358" t="s">
        <v>169</v>
      </c>
      <c r="J6" s="359">
        <f>WACC!B13</f>
        <v>0.0573205721</v>
      </c>
      <c r="K6" s="319"/>
      <c r="L6" s="319"/>
    </row>
    <row r="7" ht="15.75" customHeight="1">
      <c r="A7" s="360" t="s">
        <v>172</v>
      </c>
      <c r="B7" s="347">
        <v>0.0</v>
      </c>
      <c r="C7" s="347">
        <f>$H$7*'Fundamental Valuation'!C21</f>
        <v>77042160.38</v>
      </c>
      <c r="D7" s="347">
        <f>$H$7*'Fundamental Valuation'!D21</f>
        <v>94048811.62</v>
      </c>
      <c r="E7" s="347">
        <f>$H$7*'Fundamental Valuation'!E21</f>
        <v>118430470.8</v>
      </c>
      <c r="F7" s="347">
        <f>$H$7*'Fundamental Valuation'!F21</f>
        <v>153692519.9</v>
      </c>
      <c r="G7" s="347">
        <f>$H$7*'Fundamental Valuation'!G21</f>
        <v>205370820.5</v>
      </c>
      <c r="H7" s="355">
        <v>0.02</v>
      </c>
      <c r="I7" s="366" t="s">
        <v>177</v>
      </c>
      <c r="J7" s="368">
        <f>WACC!F13</f>
        <v>0.04277379152</v>
      </c>
      <c r="K7" s="319"/>
      <c r="L7" s="319"/>
    </row>
    <row r="8" ht="15.75" customHeight="1">
      <c r="A8" s="360" t="s">
        <v>181</v>
      </c>
      <c r="B8" s="347"/>
      <c r="C8" s="347">
        <v>-5.0E7</v>
      </c>
      <c r="D8" s="347">
        <v>-5.0E7</v>
      </c>
      <c r="E8" s="347"/>
      <c r="F8" s="347"/>
      <c r="G8" s="347"/>
      <c r="H8" s="318"/>
      <c r="I8" s="366" t="s">
        <v>182</v>
      </c>
      <c r="J8" s="372">
        <f>'Fundamental Valuation'!K23</f>
        <v>0.025</v>
      </c>
      <c r="L8" s="319"/>
    </row>
    <row r="9" ht="15.75" customHeight="1">
      <c r="A9" s="360" t="s">
        <v>184</v>
      </c>
      <c r="B9" s="373"/>
      <c r="C9" s="378">
        <f t="shared" ref="C9:G9" si="1">SUM(C6:C8)</f>
        <v>102073332.3</v>
      </c>
      <c r="D9" s="378">
        <f t="shared" si="1"/>
        <v>136882188</v>
      </c>
      <c r="E9" s="378">
        <f t="shared" si="1"/>
        <v>276420391.3</v>
      </c>
      <c r="F9" s="378">
        <f t="shared" si="1"/>
        <v>460551898.4</v>
      </c>
      <c r="G9" s="378">
        <f t="shared" si="1"/>
        <v>815138336.7</v>
      </c>
      <c r="H9" s="318"/>
      <c r="I9" s="301"/>
      <c r="J9" s="301"/>
      <c r="L9" s="319"/>
    </row>
    <row r="10" ht="15.75" customHeight="1">
      <c r="A10" s="340" t="s">
        <v>187</v>
      </c>
      <c r="B10" s="382"/>
      <c r="C10" s="347">
        <f t="shared" ref="C10:G10" si="2">C9*$J$5</f>
        <v>30621999.69</v>
      </c>
      <c r="D10" s="347">
        <f t="shared" si="2"/>
        <v>41064656.4</v>
      </c>
      <c r="E10" s="347">
        <f t="shared" si="2"/>
        <v>82926117.38</v>
      </c>
      <c r="F10" s="347">
        <f t="shared" si="2"/>
        <v>138165569.5</v>
      </c>
      <c r="G10" s="347">
        <f t="shared" si="2"/>
        <v>244541501</v>
      </c>
      <c r="H10" s="318"/>
      <c r="I10" s="301"/>
      <c r="J10" s="301"/>
      <c r="L10" s="319"/>
    </row>
    <row r="11" ht="15.75" customHeight="1">
      <c r="A11" s="384" t="s">
        <v>93</v>
      </c>
      <c r="B11" s="385"/>
      <c r="C11" s="389">
        <f t="shared" ref="C11:G11" si="3">C9-C10</f>
        <v>71451332.6</v>
      </c>
      <c r="D11" s="389">
        <f t="shared" si="3"/>
        <v>95817531.6</v>
      </c>
      <c r="E11" s="389">
        <f t="shared" si="3"/>
        <v>193494273.9</v>
      </c>
      <c r="F11" s="389">
        <f t="shared" si="3"/>
        <v>322386328.8</v>
      </c>
      <c r="G11" s="389">
        <f t="shared" si="3"/>
        <v>570596835.7</v>
      </c>
      <c r="H11" s="318"/>
      <c r="I11" s="301"/>
      <c r="J11" s="301"/>
      <c r="L11" s="319"/>
    </row>
    <row r="12" ht="15.75" customHeight="1">
      <c r="A12" s="384" t="s">
        <v>94</v>
      </c>
      <c r="B12" s="385"/>
      <c r="C12" s="389"/>
      <c r="D12" s="389"/>
      <c r="E12" s="389"/>
      <c r="F12" s="389"/>
      <c r="G12" s="389"/>
      <c r="H12" s="318"/>
      <c r="I12" s="397" t="s">
        <v>191</v>
      </c>
      <c r="J12" s="306"/>
      <c r="L12" s="319"/>
    </row>
    <row r="13" ht="15.75" customHeight="1">
      <c r="A13" s="340" t="s">
        <v>83</v>
      </c>
      <c r="B13" s="382"/>
      <c r="C13" s="347">
        <f>'Balance Sheet '!J15</f>
        <v>67750389.99</v>
      </c>
      <c r="D13" s="347">
        <f>'Balance Sheet '!K15</f>
        <v>62069287.86</v>
      </c>
      <c r="E13" s="347">
        <f>'Balance Sheet '!L15</f>
        <v>56864565.6</v>
      </c>
      <c r="F13" s="347">
        <f>'Balance Sheet '!M15</f>
        <v>52096277.11</v>
      </c>
      <c r="G13" s="347">
        <f>'Balance Sheet '!O15</f>
        <v>47727825.94</v>
      </c>
      <c r="H13" s="318"/>
      <c r="I13" s="366" t="s">
        <v>132</v>
      </c>
      <c r="J13" s="407">
        <f>'Fundamental Valuation'!B35</f>
        <v>2388841309</v>
      </c>
      <c r="L13" s="319"/>
    </row>
    <row r="14" ht="15.75" customHeight="1">
      <c r="A14" s="384" t="s">
        <v>95</v>
      </c>
      <c r="B14" s="382"/>
      <c r="C14" s="347"/>
      <c r="D14" s="347"/>
      <c r="E14" s="347"/>
      <c r="F14" s="347"/>
      <c r="G14" s="347"/>
      <c r="H14" s="318"/>
      <c r="I14" s="366" t="s">
        <v>133</v>
      </c>
      <c r="J14" s="407">
        <f>B20</f>
        <v>15262245734</v>
      </c>
      <c r="K14" s="410" t="s">
        <v>198</v>
      </c>
      <c r="L14" s="306"/>
    </row>
    <row r="15" ht="15.75" customHeight="1">
      <c r="A15" s="340" t="s">
        <v>96</v>
      </c>
      <c r="B15" s="382"/>
      <c r="C15" s="347">
        <f>'Fundamental Valuation'!C29</f>
        <v>24798685.12</v>
      </c>
      <c r="D15" s="347">
        <f>'Fundamental Valuation'!D29</f>
        <v>37048348.54</v>
      </c>
      <c r="E15" s="347">
        <f>'Fundamental Valuation'!E29</f>
        <v>54853458.45</v>
      </c>
      <c r="F15" s="347">
        <f>'Fundamental Valuation'!F29</f>
        <v>81664634.23</v>
      </c>
      <c r="G15" s="347">
        <f>'Fundamental Valuation'!G29</f>
        <v>123209553.3</v>
      </c>
      <c r="H15" s="318"/>
      <c r="I15" s="366" t="s">
        <v>134</v>
      </c>
      <c r="J15" s="407">
        <f>'Relative Valuation'!E21</f>
        <v>2125918277</v>
      </c>
      <c r="K15" s="412" t="s">
        <v>199</v>
      </c>
      <c r="L15" s="413" t="s">
        <v>200</v>
      </c>
    </row>
    <row r="16" ht="15.75" customHeight="1">
      <c r="A16" s="340" t="s">
        <v>201</v>
      </c>
      <c r="B16" s="382"/>
      <c r="C16" s="347">
        <f>'Fundamental Valuation'!C30</f>
        <v>86917253.28</v>
      </c>
      <c r="D16" s="347">
        <f>'Fundamental Valuation'!D30</f>
        <v>105710598.9</v>
      </c>
      <c r="E16" s="347">
        <f>'Fundamental Valuation'!E30</f>
        <v>133535861</v>
      </c>
      <c r="F16" s="347">
        <f>'Fundamental Valuation'!F30</f>
        <v>174961505</v>
      </c>
      <c r="G16" s="347">
        <f>'Fundamental Valuation'!G30</f>
        <v>237461449.4</v>
      </c>
      <c r="H16" s="318"/>
      <c r="I16" s="366" t="s">
        <v>56</v>
      </c>
      <c r="J16" s="417">
        <f>AVERAGE(J13:J15)</f>
        <v>6592335107</v>
      </c>
      <c r="K16" s="418">
        <f>J16/J22</f>
        <v>21.66749419</v>
      </c>
      <c r="L16" s="419">
        <f>K16-J21</f>
        <v>17.24749419</v>
      </c>
    </row>
    <row r="17" ht="15.75" customHeight="1">
      <c r="A17" s="384" t="s">
        <v>119</v>
      </c>
      <c r="B17" s="385"/>
      <c r="C17" s="389">
        <f t="shared" ref="C17:G17" si="4">C11+C13-C15-C16</f>
        <v>27485784.19</v>
      </c>
      <c r="D17" s="389">
        <f t="shared" si="4"/>
        <v>15127871.99</v>
      </c>
      <c r="E17" s="389">
        <f t="shared" si="4"/>
        <v>61969520.07</v>
      </c>
      <c r="F17" s="389">
        <f t="shared" si="4"/>
        <v>117856466.7</v>
      </c>
      <c r="G17" s="389">
        <f t="shared" si="4"/>
        <v>257653658.9</v>
      </c>
      <c r="H17" s="318"/>
      <c r="I17" s="301"/>
      <c r="J17" s="301"/>
      <c r="L17" s="319"/>
    </row>
    <row r="18" ht="15.75" customHeight="1">
      <c r="A18" s="340" t="s">
        <v>203</v>
      </c>
      <c r="B18" s="382"/>
      <c r="C18" s="347">
        <f t="shared" ref="C18:G18" si="5">C17/(1+$J$7)^C5</f>
        <v>26358338.13</v>
      </c>
      <c r="D18" s="347">
        <f t="shared" si="5"/>
        <v>13912258.1</v>
      </c>
      <c r="E18" s="347">
        <f t="shared" si="5"/>
        <v>54652220.36</v>
      </c>
      <c r="F18" s="347">
        <f t="shared" si="5"/>
        <v>99676547.68</v>
      </c>
      <c r="G18" s="347">
        <f t="shared" si="5"/>
        <v>208970882.9</v>
      </c>
      <c r="H18" s="318"/>
      <c r="I18" s="427" t="s">
        <v>205</v>
      </c>
      <c r="J18" s="103"/>
      <c r="K18" s="16"/>
      <c r="L18" s="319"/>
    </row>
    <row r="19" ht="15.75" customHeight="1">
      <c r="A19" s="340" t="s">
        <v>103</v>
      </c>
      <c r="B19" s="382"/>
      <c r="C19" s="382"/>
      <c r="D19" s="382"/>
      <c r="E19" s="382"/>
      <c r="F19" s="382"/>
      <c r="G19" s="432">
        <f>G17*(1+J8)/(J7-J8)</f>
        <v>14858675487</v>
      </c>
      <c r="H19" s="301"/>
      <c r="I19" s="366"/>
      <c r="J19" s="366" t="s">
        <v>207</v>
      </c>
      <c r="K19" s="366" t="s">
        <v>208</v>
      </c>
    </row>
    <row r="20" ht="15.75" customHeight="1">
      <c r="A20" s="433" t="s">
        <v>105</v>
      </c>
      <c r="B20" s="437">
        <f>SUM(C18:G18,G19)</f>
        <v>15262245734</v>
      </c>
      <c r="C20" s="382"/>
      <c r="D20" s="382"/>
      <c r="E20" s="382"/>
      <c r="F20" s="382"/>
      <c r="G20" s="382"/>
      <c r="H20" s="301"/>
      <c r="I20" s="366" t="s">
        <v>105</v>
      </c>
      <c r="J20" s="407">
        <f>'Fundamental Valuation'!B35</f>
        <v>2388841309</v>
      </c>
      <c r="K20" s="407">
        <f>B20</f>
        <v>15262245734</v>
      </c>
    </row>
    <row r="21" ht="15.75" customHeight="1">
      <c r="A21" s="439"/>
      <c r="B21" s="439"/>
      <c r="C21" s="439"/>
      <c r="D21" s="439"/>
      <c r="E21" s="439"/>
      <c r="F21" s="439"/>
      <c r="G21" s="318"/>
      <c r="H21" s="301"/>
      <c r="I21" s="366" t="s">
        <v>210</v>
      </c>
      <c r="J21" s="440">
        <v>4.42</v>
      </c>
      <c r="K21" s="440">
        <v>4.42</v>
      </c>
    </row>
    <row r="22" ht="15.75" customHeight="1">
      <c r="A22" s="301"/>
      <c r="B22" s="301"/>
      <c r="C22" s="301"/>
      <c r="D22" s="301"/>
      <c r="E22" s="301"/>
      <c r="F22" s="301"/>
      <c r="G22" s="301"/>
      <c r="H22" s="301"/>
      <c r="I22" s="366" t="s">
        <v>211</v>
      </c>
      <c r="J22" s="441">
        <v>3.0425E8</v>
      </c>
      <c r="K22" s="441">
        <v>3.0425E8</v>
      </c>
    </row>
    <row r="23" ht="15.75" customHeight="1">
      <c r="A23" s="301"/>
      <c r="B23" s="301"/>
      <c r="C23" s="301"/>
      <c r="D23" s="301"/>
      <c r="E23" s="301"/>
      <c r="F23" s="301"/>
      <c r="G23" s="301"/>
      <c r="H23" s="301"/>
      <c r="I23" s="366" t="s">
        <v>199</v>
      </c>
      <c r="J23" s="407">
        <f t="shared" ref="J23:K23" si="6">J20/J22</f>
        <v>7.851573735</v>
      </c>
      <c r="K23" s="407">
        <f t="shared" si="6"/>
        <v>50.16350282</v>
      </c>
    </row>
    <row r="24" ht="15.75" customHeight="1">
      <c r="A24" s="301"/>
      <c r="B24" s="301"/>
      <c r="C24" s="301"/>
      <c r="D24" s="301"/>
      <c r="E24" s="301"/>
      <c r="F24" s="301"/>
      <c r="G24" s="301"/>
      <c r="H24" s="301"/>
      <c r="I24" s="442" t="s">
        <v>206</v>
      </c>
      <c r="J24" s="443">
        <f t="shared" ref="J24:K24" si="7">J23-J21</f>
        <v>3.431573735</v>
      </c>
      <c r="K24" s="443">
        <f t="shared" si="7"/>
        <v>45.74350282</v>
      </c>
    </row>
    <row r="25" ht="15.75" customHeight="1">
      <c r="A25" s="301"/>
      <c r="B25" s="301"/>
      <c r="C25" s="301"/>
      <c r="D25" s="301"/>
      <c r="E25" s="301"/>
      <c r="F25" s="301"/>
      <c r="G25" s="301"/>
      <c r="H25" s="301"/>
    </row>
    <row r="26" ht="15.75" customHeight="1">
      <c r="A26" s="301"/>
      <c r="B26" s="301"/>
      <c r="C26" s="301"/>
      <c r="D26" s="301"/>
      <c r="E26" s="301"/>
      <c r="F26" s="301"/>
      <c r="G26" s="301"/>
    </row>
    <row r="27" ht="15.75" customHeight="1">
      <c r="A27" s="301"/>
      <c r="B27" s="301"/>
      <c r="C27" s="301"/>
      <c r="D27" s="301"/>
      <c r="E27" s="301"/>
      <c r="F27" s="301"/>
      <c r="G27" s="301"/>
    </row>
    <row r="28" ht="15.75" customHeight="1">
      <c r="A28" s="301"/>
      <c r="B28" s="301"/>
      <c r="C28" s="301"/>
      <c r="D28" s="301"/>
      <c r="E28" s="301"/>
      <c r="F28" s="301"/>
      <c r="G28" s="30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E1"/>
    <mergeCell ref="C3:G3"/>
    <mergeCell ref="I4:J4"/>
    <mergeCell ref="I12:J12"/>
    <mergeCell ref="K14:L14"/>
    <mergeCell ref="I18:K1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8.0"/>
    <col customWidth="1" min="3" max="3" width="26.33"/>
    <col customWidth="1" min="4" max="4" width="25.78"/>
    <col customWidth="1" min="5" max="5" width="35.33"/>
    <col customWidth="1" min="6" max="6" width="35.67"/>
    <col customWidth="1" min="7" max="7" width="20.44"/>
    <col customWidth="1" min="8" max="26" width="10.56"/>
  </cols>
  <sheetData>
    <row r="1" ht="15.75" customHeight="1"/>
    <row r="2" ht="15.75" customHeight="1"/>
    <row r="3" ht="15.75" customHeight="1">
      <c r="B3" s="304" t="s">
        <v>130</v>
      </c>
      <c r="C3" s="103"/>
      <c r="D3" s="103"/>
      <c r="E3" s="103"/>
      <c r="F3" s="16"/>
      <c r="G3" s="12"/>
      <c r="H3" s="12"/>
      <c r="I3" s="12"/>
    </row>
    <row r="4" ht="15.75" customHeight="1">
      <c r="B4" s="307"/>
      <c r="C4" s="309" t="s">
        <v>132</v>
      </c>
      <c r="D4" s="309"/>
      <c r="E4" s="307" t="s">
        <v>133</v>
      </c>
      <c r="F4" s="309" t="s">
        <v>134</v>
      </c>
      <c r="G4" s="12"/>
      <c r="H4" s="12"/>
      <c r="I4" s="12"/>
    </row>
    <row r="5" ht="15.75" customHeight="1">
      <c r="B5" s="307" t="s">
        <v>135</v>
      </c>
      <c r="C5" s="317">
        <f>'Fundamental Valuation'!B35</f>
        <v>2388841309</v>
      </c>
      <c r="D5" s="16"/>
      <c r="E5" s="321">
        <f>'Synergy Valuation'!B20</f>
        <v>15262245734</v>
      </c>
      <c r="F5" s="321">
        <f>'Relative Valuation'!E21</f>
        <v>2125918277</v>
      </c>
      <c r="G5" s="12"/>
      <c r="H5" s="12"/>
      <c r="I5" s="12"/>
    </row>
    <row r="6" ht="15.75" customHeight="1">
      <c r="B6" s="307" t="s">
        <v>142</v>
      </c>
      <c r="C6" s="329">
        <f>AVERAGE(C5:F5)</f>
        <v>6592335107</v>
      </c>
      <c r="D6" s="103"/>
      <c r="E6" s="16"/>
      <c r="F6" s="330"/>
      <c r="G6" s="12"/>
      <c r="H6" s="12"/>
      <c r="I6" s="12"/>
    </row>
    <row r="7" ht="15.75" customHeight="1">
      <c r="B7" s="332"/>
      <c r="C7" s="12"/>
      <c r="D7" s="12"/>
      <c r="E7" s="12"/>
      <c r="F7" s="12"/>
      <c r="G7" s="12"/>
      <c r="H7" s="12"/>
      <c r="I7" s="12"/>
    </row>
    <row r="8" ht="15.75" customHeight="1">
      <c r="B8" s="332"/>
      <c r="C8" s="12"/>
      <c r="D8" s="12"/>
      <c r="E8" s="12"/>
      <c r="F8" s="12"/>
      <c r="G8" s="12"/>
      <c r="H8" s="12"/>
      <c r="I8" s="12"/>
    </row>
    <row r="9" ht="15.75" customHeight="1">
      <c r="B9" s="339" t="s">
        <v>161</v>
      </c>
      <c r="C9" s="258"/>
      <c r="D9" s="258"/>
      <c r="E9" s="258"/>
      <c r="F9" s="341"/>
      <c r="G9" s="12"/>
      <c r="H9" s="12"/>
      <c r="I9" s="12"/>
    </row>
    <row r="10" ht="15.75" customHeight="1">
      <c r="B10" s="342"/>
      <c r="C10" s="345"/>
      <c r="D10" s="345"/>
      <c r="E10" s="345" t="s">
        <v>163</v>
      </c>
      <c r="F10" s="345" t="s">
        <v>164</v>
      </c>
    </row>
    <row r="11" ht="15.75" customHeight="1">
      <c r="B11" s="342" t="s">
        <v>165</v>
      </c>
      <c r="C11" s="348">
        <f>C6</f>
        <v>6592335107</v>
      </c>
      <c r="D11" s="345" t="s">
        <v>24</v>
      </c>
      <c r="E11" s="348">
        <f>WACC!F28</f>
        <v>14660000000</v>
      </c>
      <c r="F11" s="348">
        <f>F17+E11</f>
        <v>16637700532</v>
      </c>
    </row>
    <row r="12" ht="15.75" customHeight="1">
      <c r="B12" s="342" t="s">
        <v>166</v>
      </c>
      <c r="C12" s="353">
        <v>0.3</v>
      </c>
      <c r="D12" s="345" t="s">
        <v>168</v>
      </c>
      <c r="E12" s="348">
        <f>WACC!F29</f>
        <v>6565000000</v>
      </c>
      <c r="F12" s="348">
        <f>E12+C15</f>
        <v>11179634575</v>
      </c>
    </row>
    <row r="13" ht="15.75" customHeight="1">
      <c r="B13" s="342" t="s">
        <v>171</v>
      </c>
      <c r="C13" s="353">
        <f>1-C12</f>
        <v>0.7</v>
      </c>
      <c r="D13" s="345" t="s">
        <v>174</v>
      </c>
      <c r="E13" s="348">
        <v>1.135E9</v>
      </c>
      <c r="F13" s="363">
        <f>E13-C14</f>
        <v>-842700532</v>
      </c>
    </row>
    <row r="14" ht="15.75" customHeight="1">
      <c r="B14" s="364" t="s">
        <v>176</v>
      </c>
      <c r="C14" s="367">
        <f>C12*C11</f>
        <v>1977700532</v>
      </c>
      <c r="D14" s="345" t="s">
        <v>178</v>
      </c>
      <c r="E14" s="369">
        <f t="shared" ref="E14:F14" si="1">E11/E12</f>
        <v>2.233054075</v>
      </c>
      <c r="F14" s="371">
        <f t="shared" si="1"/>
        <v>1.488215059</v>
      </c>
    </row>
    <row r="15" ht="15.75" customHeight="1">
      <c r="B15" s="364" t="s">
        <v>183</v>
      </c>
      <c r="C15" s="367">
        <f>C13*C11</f>
        <v>4614634575</v>
      </c>
      <c r="D15" s="374"/>
      <c r="E15" s="375"/>
      <c r="F15" s="374"/>
    </row>
    <row r="16" ht="15.75" customHeight="1">
      <c r="B16" s="342" t="s">
        <v>186</v>
      </c>
      <c r="C16" s="379">
        <f>C15/C17</f>
        <v>1044034972</v>
      </c>
      <c r="D16" s="81"/>
      <c r="E16" s="381"/>
      <c r="F16" s="81"/>
    </row>
    <row r="17" ht="15.75" customHeight="1">
      <c r="B17" s="383" t="s">
        <v>188</v>
      </c>
      <c r="C17" s="388">
        <v>4.42</v>
      </c>
      <c r="D17" s="391" t="s">
        <v>189</v>
      </c>
      <c r="E17" s="392"/>
      <c r="F17" s="394">
        <f>C14</f>
        <v>1977700532</v>
      </c>
    </row>
    <row r="18" ht="15.75" customHeight="1">
      <c r="B18" s="12"/>
      <c r="C18" s="12"/>
    </row>
    <row r="19" ht="15.75" customHeight="1"/>
    <row r="20" ht="15.75" customHeight="1">
      <c r="E20" s="85"/>
    </row>
    <row r="21" ht="15.75" customHeight="1"/>
    <row r="22" ht="15.75" customHeight="1"/>
    <row r="23" ht="15.75" customHeight="1">
      <c r="E23" s="8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F3"/>
    <mergeCell ref="C5:D5"/>
    <mergeCell ref="C6:E6"/>
    <mergeCell ref="B9:F9"/>
    <mergeCell ref="D17:E1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32.0"/>
    <col customWidth="1" min="2" max="6" width="17.67"/>
    <col customWidth="1" min="7" max="8" width="20.44"/>
    <col customWidth="1" min="9" max="26" width="11.44"/>
  </cols>
  <sheetData>
    <row r="1" ht="15.75" customHeight="1">
      <c r="A1" s="444" t="s">
        <v>212</v>
      </c>
    </row>
    <row r="2" ht="15.75" customHeight="1">
      <c r="A2" s="445" t="s">
        <v>213</v>
      </c>
      <c r="B2" s="446">
        <v>43617.0</v>
      </c>
      <c r="C2" s="446">
        <v>43983.0</v>
      </c>
      <c r="D2" s="446">
        <v>44348.0</v>
      </c>
      <c r="E2" s="446">
        <v>44713.0</v>
      </c>
      <c r="F2" s="446">
        <v>45078.0</v>
      </c>
    </row>
    <row r="3" ht="15.75" customHeight="1">
      <c r="A3" s="445" t="s">
        <v>214</v>
      </c>
      <c r="B3" s="446"/>
      <c r="C3" s="446"/>
      <c r="D3" s="446"/>
      <c r="E3" s="446"/>
      <c r="F3" s="446"/>
    </row>
    <row r="4" ht="15.75" customHeight="1">
      <c r="A4" s="449" t="s">
        <v>215</v>
      </c>
      <c r="B4" s="450">
        <v>1.422126E9</v>
      </c>
      <c r="C4" s="450">
        <v>1.691644E9</v>
      </c>
      <c r="D4" s="450">
        <v>2.2217E9</v>
      </c>
      <c r="E4" s="450">
        <v>3.3428E9</v>
      </c>
      <c r="F4" s="450">
        <v>3.6111E9</v>
      </c>
    </row>
    <row r="5" ht="15.75" customHeight="1">
      <c r="A5" s="449" t="s">
        <v>218</v>
      </c>
      <c r="B5" s="450">
        <v>-1.476828E9</v>
      </c>
      <c r="C5" s="450">
        <v>-1.494944E9</v>
      </c>
      <c r="D5" s="450">
        <v>-2.0865E9</v>
      </c>
      <c r="E5" s="450">
        <v>-3.1792E9</v>
      </c>
      <c r="F5" s="450">
        <v>-3.6078E9</v>
      </c>
    </row>
    <row r="6" ht="15.75" customHeight="1">
      <c r="A6" s="449" t="s">
        <v>222</v>
      </c>
      <c r="B6" s="450">
        <v>0.0</v>
      </c>
      <c r="C6" s="450">
        <v>0.0</v>
      </c>
      <c r="D6" s="450">
        <v>0.0</v>
      </c>
      <c r="E6" s="450">
        <v>0.0</v>
      </c>
      <c r="F6" s="450">
        <v>0.0</v>
      </c>
    </row>
    <row r="7" ht="15.75" customHeight="1">
      <c r="A7" s="449" t="s">
        <v>223</v>
      </c>
      <c r="B7" s="450">
        <v>0.0</v>
      </c>
      <c r="C7" s="450">
        <v>0.0</v>
      </c>
      <c r="D7" s="450">
        <v>100000.0</v>
      </c>
      <c r="E7" s="450">
        <v>100000.0</v>
      </c>
      <c r="F7" s="450">
        <v>1000000.0</v>
      </c>
    </row>
    <row r="8" ht="15.75" customHeight="1">
      <c r="A8" s="449" t="s">
        <v>224</v>
      </c>
      <c r="B8" s="450">
        <v>-2.0363E7</v>
      </c>
      <c r="C8" s="450">
        <v>-1.128E7</v>
      </c>
      <c r="D8" s="450">
        <v>-1.05E7</v>
      </c>
      <c r="E8" s="450">
        <v>-1.25E7</v>
      </c>
      <c r="F8" s="450">
        <v>-2.41E7</v>
      </c>
    </row>
    <row r="9" ht="15.75" customHeight="1">
      <c r="A9" s="449" t="s">
        <v>225</v>
      </c>
      <c r="B9" s="450">
        <v>-1.3264E7</v>
      </c>
      <c r="C9" s="450">
        <v>-1.233E7</v>
      </c>
      <c r="D9" s="450">
        <v>-700000.0</v>
      </c>
      <c r="E9" s="450">
        <v>-1.19E7</v>
      </c>
      <c r="F9" s="450">
        <v>-8600000.0</v>
      </c>
    </row>
    <row r="10" ht="15.75" customHeight="1">
      <c r="A10" s="449" t="s">
        <v>226</v>
      </c>
      <c r="B10" s="450">
        <v>1.88601E8</v>
      </c>
      <c r="C10" s="450">
        <v>-3.5359E7</v>
      </c>
      <c r="D10" s="450">
        <v>-1.27E7</v>
      </c>
      <c r="E10" s="450">
        <v>1.89E7</v>
      </c>
      <c r="F10" s="450">
        <v>3.66E7</v>
      </c>
    </row>
    <row r="11" ht="15.75" customHeight="1">
      <c r="A11" s="454" t="s">
        <v>227</v>
      </c>
      <c r="B11" s="450">
        <v>1.00272E8</v>
      </c>
      <c r="C11" s="450">
        <v>1.37731E8</v>
      </c>
      <c r="D11" s="450">
        <v>1.114E8</v>
      </c>
      <c r="E11" s="450">
        <v>1.582E8</v>
      </c>
      <c r="F11" s="450">
        <v>8200000.0</v>
      </c>
    </row>
    <row r="12" ht="15.75" customHeight="1">
      <c r="A12" s="456" t="s">
        <v>229</v>
      </c>
      <c r="B12" s="458"/>
      <c r="C12" s="458"/>
      <c r="D12" s="458"/>
      <c r="E12" s="458"/>
      <c r="F12" s="458"/>
      <c r="G12" s="461" t="s">
        <v>230</v>
      </c>
      <c r="H12" s="462" t="s">
        <v>231</v>
      </c>
    </row>
    <row r="13" ht="15.75" customHeight="1">
      <c r="A13" s="449" t="s">
        <v>232</v>
      </c>
      <c r="B13" s="450">
        <v>-6.2349E7</v>
      </c>
      <c r="C13" s="450">
        <v>-5.6837E7</v>
      </c>
      <c r="D13" s="450">
        <v>-3.22E7</v>
      </c>
      <c r="E13" s="450">
        <v>-7.18E7</v>
      </c>
      <c r="F13" s="450">
        <v>-6.81E7</v>
      </c>
      <c r="G13" s="463">
        <f t="shared" ref="G13:H13" si="1">(E13+E15+E17)*-1</f>
        <v>71800000</v>
      </c>
      <c r="H13" s="463">
        <f t="shared" si="1"/>
        <v>68100000</v>
      </c>
    </row>
    <row r="14" ht="15.75" customHeight="1">
      <c r="A14" s="449" t="s">
        <v>233</v>
      </c>
      <c r="B14" s="450">
        <v>203000.0</v>
      </c>
      <c r="C14" s="450">
        <v>4952000.0</v>
      </c>
      <c r="D14" s="450">
        <v>0.0</v>
      </c>
      <c r="E14" s="450">
        <v>7000000.0</v>
      </c>
      <c r="F14" s="450">
        <v>1.161E8</v>
      </c>
      <c r="G14" s="465" t="s">
        <v>234</v>
      </c>
      <c r="H14" s="466" t="s">
        <v>237</v>
      </c>
    </row>
    <row r="15" ht="15.75" customHeight="1">
      <c r="A15" s="449" t="s">
        <v>238</v>
      </c>
      <c r="B15" s="450">
        <v>-3.0325E7</v>
      </c>
      <c r="C15" s="450">
        <v>-1000000.0</v>
      </c>
      <c r="D15" s="450">
        <v>0.0</v>
      </c>
      <c r="E15" s="450">
        <v>0.0</v>
      </c>
      <c r="F15" s="450">
        <v>0.0</v>
      </c>
      <c r="G15" s="467">
        <v>3.0183E9</v>
      </c>
      <c r="H15" s="468">
        <v>3.3872E9</v>
      </c>
    </row>
    <row r="16" ht="15.75" customHeight="1">
      <c r="A16" s="449" t="s">
        <v>239</v>
      </c>
      <c r="B16" s="450">
        <v>3.0981E7</v>
      </c>
      <c r="C16" s="450">
        <v>0.0</v>
      </c>
      <c r="D16" s="450">
        <v>0.0</v>
      </c>
      <c r="E16" s="450">
        <v>0.0</v>
      </c>
      <c r="F16" s="450">
        <v>5.1E7</v>
      </c>
      <c r="G16" s="471" t="s">
        <v>240</v>
      </c>
      <c r="H16" s="472"/>
    </row>
    <row r="17" ht="15.75" customHeight="1">
      <c r="A17" s="449" t="s">
        <v>241</v>
      </c>
      <c r="B17" s="450">
        <v>-2.51173E8</v>
      </c>
      <c r="C17" s="450">
        <v>0.0</v>
      </c>
      <c r="D17" s="450">
        <v>-5.145E8</v>
      </c>
      <c r="E17" s="450">
        <v>0.0</v>
      </c>
      <c r="F17" s="450">
        <v>0.0</v>
      </c>
      <c r="G17" s="473">
        <f t="shared" ref="G17:H17" si="2">G13/G15</f>
        <v>0.02378822516</v>
      </c>
      <c r="H17" s="474">
        <f t="shared" si="2"/>
        <v>0.02010510156</v>
      </c>
    </row>
    <row r="18" ht="15.75" customHeight="1">
      <c r="A18" s="449" t="s">
        <v>242</v>
      </c>
      <c r="B18" s="450">
        <v>0.0</v>
      </c>
      <c r="C18" s="450">
        <v>0.0</v>
      </c>
      <c r="D18" s="450">
        <v>0.0</v>
      </c>
      <c r="E18" s="450">
        <v>1000000.0</v>
      </c>
      <c r="F18" s="450">
        <v>0.0</v>
      </c>
      <c r="G18" s="476" t="s">
        <v>244</v>
      </c>
      <c r="H18" s="479">
        <f>AVERAGE(G17:H17)</f>
        <v>0.02194666336</v>
      </c>
    </row>
    <row r="19" ht="15.75" customHeight="1">
      <c r="A19" s="449" t="s">
        <v>248</v>
      </c>
      <c r="B19" s="450">
        <v>0.0</v>
      </c>
      <c r="C19" s="450">
        <v>0.0</v>
      </c>
      <c r="D19" s="450">
        <v>0.0</v>
      </c>
      <c r="E19" s="450">
        <v>0.0</v>
      </c>
      <c r="F19" s="450">
        <v>0.0</v>
      </c>
    </row>
    <row r="20" ht="15.75" customHeight="1">
      <c r="A20" s="449" t="s">
        <v>249</v>
      </c>
      <c r="B20" s="450">
        <v>0.0</v>
      </c>
      <c r="C20" s="450">
        <v>0.0</v>
      </c>
      <c r="D20" s="450">
        <v>0.0</v>
      </c>
      <c r="E20" s="450">
        <v>0.0</v>
      </c>
      <c r="F20" s="450">
        <v>0.0</v>
      </c>
    </row>
    <row r="21" ht="15.75" customHeight="1">
      <c r="A21" s="449" t="s">
        <v>250</v>
      </c>
      <c r="B21" s="450">
        <v>-1.0218E7</v>
      </c>
      <c r="C21" s="450">
        <v>309000.0</v>
      </c>
      <c r="D21" s="450">
        <v>0.0</v>
      </c>
      <c r="E21" s="450">
        <v>0.0</v>
      </c>
      <c r="F21" s="450">
        <v>900000.0</v>
      </c>
    </row>
    <row r="22" ht="15.75" customHeight="1">
      <c r="A22" s="454" t="s">
        <v>251</v>
      </c>
      <c r="B22" s="450">
        <v>-3.22881E8</v>
      </c>
      <c r="C22" s="450">
        <v>-5.2576E7</v>
      </c>
      <c r="D22" s="450">
        <v>-5.467E8</v>
      </c>
      <c r="E22" s="450">
        <v>-6.38E7</v>
      </c>
      <c r="F22" s="450">
        <v>9.99E7</v>
      </c>
      <c r="H22" s="481"/>
    </row>
    <row r="23" ht="15.75" customHeight="1">
      <c r="A23" s="456" t="s">
        <v>252</v>
      </c>
      <c r="B23" s="458"/>
      <c r="C23" s="458"/>
      <c r="D23" s="458"/>
      <c r="E23" s="458"/>
      <c r="F23" s="458"/>
    </row>
    <row r="24" ht="15.75" customHeight="1">
      <c r="A24" s="449" t="s">
        <v>253</v>
      </c>
      <c r="B24" s="450">
        <v>1.99859E8</v>
      </c>
      <c r="C24" s="450">
        <v>0.0</v>
      </c>
      <c r="D24" s="450">
        <v>3.902E8</v>
      </c>
      <c r="E24" s="450">
        <v>0.0</v>
      </c>
      <c r="F24" s="450">
        <v>0.0</v>
      </c>
    </row>
    <row r="25" ht="15.75" customHeight="1">
      <c r="A25" s="449" t="s">
        <v>254</v>
      </c>
      <c r="B25" s="450">
        <v>3.95083E8</v>
      </c>
      <c r="C25" s="450">
        <v>1.8202E7</v>
      </c>
      <c r="D25" s="450">
        <v>2.05E8</v>
      </c>
      <c r="E25" s="450">
        <v>3.1E8</v>
      </c>
      <c r="F25" s="450">
        <v>0.0</v>
      </c>
      <c r="H25" s="481"/>
    </row>
    <row r="26" ht="15.75" customHeight="1">
      <c r="A26" s="449" t="s">
        <v>256</v>
      </c>
      <c r="B26" s="450">
        <v>-3.46011E8</v>
      </c>
      <c r="C26" s="450">
        <v>-8.7E7</v>
      </c>
      <c r="D26" s="450">
        <v>-6.0E7</v>
      </c>
      <c r="E26" s="450">
        <v>-3.93E8</v>
      </c>
      <c r="F26" s="450">
        <v>-4.0E7</v>
      </c>
    </row>
    <row r="27" ht="15.75" customHeight="1">
      <c r="A27" s="449" t="s">
        <v>257</v>
      </c>
      <c r="B27" s="450">
        <v>-1.9127E7</v>
      </c>
      <c r="C27" s="450">
        <v>-1.9455E7</v>
      </c>
      <c r="D27" s="450">
        <v>-2.33E7</v>
      </c>
      <c r="E27" s="450">
        <v>-2.87E7</v>
      </c>
      <c r="F27" s="450">
        <v>-2.68E7</v>
      </c>
    </row>
    <row r="28" ht="15.75" customHeight="1">
      <c r="A28" s="449" t="s">
        <v>259</v>
      </c>
      <c r="B28" s="450">
        <v>-104000.0</v>
      </c>
      <c r="C28" s="450">
        <v>-2780000.0</v>
      </c>
      <c r="D28" s="450">
        <v>-1.23E7</v>
      </c>
      <c r="E28" s="450">
        <v>-2.5E7</v>
      </c>
      <c r="F28" s="450">
        <v>-1.98E7</v>
      </c>
    </row>
    <row r="29" ht="15.75" customHeight="1">
      <c r="A29" s="454" t="s">
        <v>261</v>
      </c>
      <c r="B29" s="450">
        <v>2.297E8</v>
      </c>
      <c r="C29" s="450">
        <v>-9.1033E7</v>
      </c>
      <c r="D29" s="450">
        <v>4.996E8</v>
      </c>
      <c r="E29" s="450">
        <v>-1.367E8</v>
      </c>
      <c r="F29" s="450">
        <v>-8.66E7</v>
      </c>
    </row>
    <row r="30" ht="15.75" customHeight="1">
      <c r="A30" s="449" t="s">
        <v>262</v>
      </c>
      <c r="B30" s="450">
        <v>7091000.0</v>
      </c>
      <c r="C30" s="450">
        <v>-5878000.0</v>
      </c>
      <c r="D30" s="450">
        <v>6.43E7</v>
      </c>
      <c r="E30" s="450">
        <v>-4.23E7</v>
      </c>
      <c r="F30" s="450">
        <v>2.15E7</v>
      </c>
    </row>
    <row r="31" ht="15.75" customHeight="1">
      <c r="A31" s="449" t="s">
        <v>263</v>
      </c>
      <c r="B31" s="450">
        <v>2.1669E7</v>
      </c>
      <c r="C31" s="450">
        <v>2.876E7</v>
      </c>
      <c r="D31" s="450">
        <v>2.29E7</v>
      </c>
      <c r="E31" s="450">
        <v>8.72E7</v>
      </c>
      <c r="F31" s="450">
        <v>4.49E7</v>
      </c>
    </row>
    <row r="32" ht="15.75" customHeight="1">
      <c r="A32" s="449" t="s">
        <v>264</v>
      </c>
      <c r="B32" s="450">
        <v>0.0</v>
      </c>
      <c r="C32" s="450">
        <v>0.0</v>
      </c>
      <c r="D32" s="450">
        <v>0.0</v>
      </c>
      <c r="E32" s="450">
        <v>0.0</v>
      </c>
      <c r="F32" s="450">
        <v>0.0</v>
      </c>
    </row>
    <row r="33" ht="15.75" customHeight="1">
      <c r="A33" s="449" t="s">
        <v>265</v>
      </c>
      <c r="B33" s="450">
        <v>0.0</v>
      </c>
      <c r="C33" s="450">
        <v>0.0</v>
      </c>
      <c r="D33" s="450">
        <v>0.0</v>
      </c>
      <c r="E33" s="450">
        <v>0.0</v>
      </c>
      <c r="F33" s="450">
        <v>0.0</v>
      </c>
    </row>
    <row r="34" ht="15.75" customHeight="1">
      <c r="A34" s="449" t="s">
        <v>266</v>
      </c>
      <c r="B34" s="450">
        <v>2.876E7</v>
      </c>
      <c r="C34" s="450">
        <v>2.2882E7</v>
      </c>
      <c r="D34" s="450">
        <v>8.72E7</v>
      </c>
      <c r="E34" s="450">
        <v>4.49E7</v>
      </c>
      <c r="F34" s="450">
        <v>6.64E7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6:H1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31.0"/>
    <col customWidth="1" min="2" max="6" width="17.67"/>
    <col customWidth="1" min="7" max="7" width="18.78"/>
    <col customWidth="1" min="8" max="12" width="16.78"/>
    <col customWidth="1" min="13" max="26" width="11.44"/>
  </cols>
  <sheetData>
    <row r="1" ht="27.0" customHeight="1">
      <c r="A1" s="447" t="s">
        <v>212</v>
      </c>
      <c r="B1" s="448"/>
      <c r="C1" s="448"/>
      <c r="D1" s="448"/>
      <c r="E1" s="448"/>
      <c r="F1" s="448"/>
    </row>
    <row r="2">
      <c r="A2" s="445" t="s">
        <v>213</v>
      </c>
      <c r="B2" s="445" t="s">
        <v>216</v>
      </c>
      <c r="C2" s="445" t="s">
        <v>217</v>
      </c>
      <c r="D2" s="445" t="s">
        <v>219</v>
      </c>
      <c r="E2" s="445" t="s">
        <v>220</v>
      </c>
      <c r="F2" s="445" t="s">
        <v>221</v>
      </c>
    </row>
    <row r="3">
      <c r="A3" s="451" t="s">
        <v>10</v>
      </c>
      <c r="B3" s="452">
        <v>1.427167E9</v>
      </c>
      <c r="C3" s="452">
        <v>1.501079E9</v>
      </c>
      <c r="D3" s="452">
        <v>2.0816E9</v>
      </c>
      <c r="E3" s="452">
        <v>3.0183E9</v>
      </c>
      <c r="F3" s="452">
        <v>3.3872E9</v>
      </c>
      <c r="G3" s="453"/>
      <c r="H3" s="453"/>
      <c r="I3" s="453"/>
      <c r="J3" s="453"/>
      <c r="K3" s="453"/>
    </row>
    <row r="4">
      <c r="A4" s="77" t="s">
        <v>73</v>
      </c>
      <c r="B4" s="452">
        <v>4808000.0</v>
      </c>
      <c r="C4" s="452">
        <v>5777000.0</v>
      </c>
      <c r="D4" s="452">
        <v>3.05E7</v>
      </c>
      <c r="E4" s="452">
        <v>9300000.0</v>
      </c>
      <c r="F4" s="452">
        <v>2.38E7</v>
      </c>
      <c r="H4" s="453"/>
    </row>
    <row r="5">
      <c r="A5" s="455" t="s">
        <v>228</v>
      </c>
      <c r="B5" s="457"/>
      <c r="C5" s="459"/>
      <c r="D5" s="460">
        <v>1.59E7</v>
      </c>
      <c r="E5" s="459"/>
      <c r="F5" s="460">
        <v>1.62E7</v>
      </c>
      <c r="G5" s="453"/>
    </row>
    <row r="6">
      <c r="A6" s="455"/>
      <c r="B6" s="457"/>
      <c r="C6" s="459"/>
      <c r="D6" s="460">
        <v>9030000.0</v>
      </c>
      <c r="E6" s="459"/>
      <c r="F6" s="459"/>
      <c r="G6" s="453"/>
    </row>
    <row r="7">
      <c r="A7" s="455"/>
      <c r="B7" s="457"/>
      <c r="C7" s="459"/>
      <c r="D7" s="464">
        <f>D4-D5-D6</f>
        <v>5570000</v>
      </c>
      <c r="E7" s="459"/>
      <c r="F7" s="464">
        <f>F4-F5</f>
        <v>7600000</v>
      </c>
      <c r="G7" s="453" t="s">
        <v>235</v>
      </c>
    </row>
    <row r="8">
      <c r="A8" s="455" t="s">
        <v>236</v>
      </c>
      <c r="B8" s="457"/>
      <c r="C8" s="469">
        <f>(C4-B4)/B4</f>
        <v>0.2015391015</v>
      </c>
      <c r="D8" s="470">
        <f>(D7-C4)/C4</f>
        <v>-0.03583174658</v>
      </c>
      <c r="E8" s="469">
        <f>(E4-D7)/D7</f>
        <v>0.6696588869</v>
      </c>
      <c r="F8" s="470">
        <f>(F7-E4)/E4</f>
        <v>-0.1827956989</v>
      </c>
      <c r="G8" s="475">
        <f>AVERAGE(C8:F8)</f>
        <v>0.1631426357</v>
      </c>
    </row>
    <row r="9">
      <c r="A9" s="77" t="s">
        <v>243</v>
      </c>
      <c r="B9" s="452">
        <v>1.431975E9</v>
      </c>
      <c r="C9" s="452">
        <v>1.506856E9</v>
      </c>
      <c r="D9" s="452">
        <v>2.1121E9</v>
      </c>
      <c r="E9" s="452">
        <v>3.0276E9</v>
      </c>
      <c r="F9" s="452">
        <v>3.411E9</v>
      </c>
      <c r="G9" s="33"/>
    </row>
    <row r="10">
      <c r="A10" s="451" t="s">
        <v>245</v>
      </c>
      <c r="B10" s="452">
        <v>1.308638E9</v>
      </c>
      <c r="C10" s="452">
        <v>1.419032E9</v>
      </c>
      <c r="D10" s="452">
        <v>1.9663E9</v>
      </c>
      <c r="E10" s="452">
        <v>2.8488E9</v>
      </c>
      <c r="F10" s="452">
        <v>3.2583E9</v>
      </c>
      <c r="G10" s="77" t="s">
        <v>246</v>
      </c>
    </row>
    <row r="11">
      <c r="A11" s="477" t="s">
        <v>247</v>
      </c>
      <c r="B11" s="478">
        <f t="shared" ref="B11:F11" si="1">B10/B3</f>
        <v>0.9169480516</v>
      </c>
      <c r="C11" s="478">
        <f t="shared" si="1"/>
        <v>0.9453413178</v>
      </c>
      <c r="D11" s="478">
        <f t="shared" si="1"/>
        <v>0.9446099154</v>
      </c>
      <c r="E11" s="478">
        <f t="shared" si="1"/>
        <v>0.9438425604</v>
      </c>
      <c r="F11" s="478">
        <f t="shared" si="1"/>
        <v>0.9619449693</v>
      </c>
      <c r="G11" s="480">
        <f>AVERAGE(B11:F11)</f>
        <v>0.9425373629</v>
      </c>
    </row>
    <row r="12">
      <c r="A12" s="77" t="s">
        <v>148</v>
      </c>
      <c r="B12" s="33">
        <v>1.23337E8</v>
      </c>
      <c r="C12" s="33">
        <v>8.7824E7</v>
      </c>
      <c r="D12" s="33">
        <v>1.458E8</v>
      </c>
      <c r="E12" s="33">
        <v>1.788E8</v>
      </c>
      <c r="F12" s="33">
        <v>1.527E8</v>
      </c>
      <c r="G12" s="33"/>
      <c r="H12" s="482">
        <v>2019.0</v>
      </c>
      <c r="I12" s="482">
        <v>2020.0</v>
      </c>
      <c r="J12" s="482">
        <v>2021.0</v>
      </c>
      <c r="K12" s="482">
        <v>2022.0</v>
      </c>
      <c r="L12" s="482">
        <v>2023.0</v>
      </c>
    </row>
    <row r="13">
      <c r="A13" s="77" t="s">
        <v>83</v>
      </c>
      <c r="B13" s="33">
        <v>-3.5246E7</v>
      </c>
      <c r="C13" s="33">
        <v>-3.7639E7</v>
      </c>
      <c r="D13" s="33">
        <v>-6.18E7</v>
      </c>
      <c r="E13" s="33">
        <v>-9.26E7</v>
      </c>
      <c r="F13" s="33">
        <v>-8.64E7</v>
      </c>
      <c r="G13" s="33" t="s">
        <v>255</v>
      </c>
      <c r="H13" s="483">
        <v>4.43331E8</v>
      </c>
      <c r="I13" s="483">
        <v>4.54724E8</v>
      </c>
      <c r="J13" s="483">
        <v>1.0119E9</v>
      </c>
      <c r="K13" s="483">
        <v>9.539E8</v>
      </c>
      <c r="L13" s="483">
        <v>8.486E8</v>
      </c>
    </row>
    <row r="14">
      <c r="A14" s="77" t="s">
        <v>258</v>
      </c>
      <c r="B14" s="33">
        <v>-5127000.0</v>
      </c>
      <c r="C14" s="33">
        <v>-7117000.0</v>
      </c>
      <c r="D14" s="33">
        <v>-1.1E7</v>
      </c>
      <c r="E14" s="33">
        <v>-1.11E7</v>
      </c>
      <c r="F14" s="33">
        <v>-1.55E7</v>
      </c>
      <c r="G14" s="33" t="s">
        <v>260</v>
      </c>
      <c r="H14" s="484">
        <f t="shared" ref="H14:L14" si="2">(B15/H13)*-1</f>
        <v>0.0910673966</v>
      </c>
      <c r="I14" s="484">
        <f t="shared" si="2"/>
        <v>0.09842453884</v>
      </c>
      <c r="J14" s="484">
        <f t="shared" si="2"/>
        <v>0.07194386797</v>
      </c>
      <c r="K14" s="484">
        <f t="shared" si="2"/>
        <v>0.108711605</v>
      </c>
      <c r="L14" s="484">
        <f t="shared" si="2"/>
        <v>0.120080132</v>
      </c>
    </row>
    <row r="15">
      <c r="A15" s="77" t="s">
        <v>267</v>
      </c>
      <c r="B15" s="452">
        <v>-4.0373E7</v>
      </c>
      <c r="C15" s="452">
        <v>-4.4756E7</v>
      </c>
      <c r="D15" s="452">
        <v>-7.28E7</v>
      </c>
      <c r="E15" s="452">
        <v>-1.037E8</v>
      </c>
      <c r="F15" s="452">
        <v>-1.019E8</v>
      </c>
      <c r="G15" s="77" t="s">
        <v>268</v>
      </c>
      <c r="H15" s="485">
        <f>AVERAGE(H14:J14)</f>
        <v>0.0871452678</v>
      </c>
    </row>
    <row r="16">
      <c r="A16" s="451" t="s">
        <v>269</v>
      </c>
      <c r="B16" s="452">
        <v>8.2964E7</v>
      </c>
      <c r="C16" s="452">
        <v>4.3068E7</v>
      </c>
      <c r="D16" s="452">
        <v>7.3E7</v>
      </c>
      <c r="E16" s="452">
        <v>7.51E7</v>
      </c>
      <c r="F16" s="452">
        <v>5.08E7</v>
      </c>
    </row>
    <row r="17">
      <c r="A17" s="77" t="s">
        <v>270</v>
      </c>
      <c r="B17" s="33">
        <v>411000.0</v>
      </c>
      <c r="C17" s="33">
        <v>309000.0</v>
      </c>
      <c r="D17" s="33">
        <v>100000.0</v>
      </c>
      <c r="E17" s="33">
        <v>100000.0</v>
      </c>
      <c r="F17" s="33">
        <v>1000000.0</v>
      </c>
    </row>
    <row r="18">
      <c r="A18" s="77" t="s">
        <v>271</v>
      </c>
      <c r="B18" s="452">
        <v>-2.0363E7</v>
      </c>
      <c r="C18" s="452">
        <v>-1.128E7</v>
      </c>
      <c r="D18" s="452">
        <v>-1.04E7</v>
      </c>
      <c r="E18" s="452">
        <v>-1.25E7</v>
      </c>
      <c r="F18" s="452">
        <v>-2.41E7</v>
      </c>
      <c r="G18" s="77" t="s">
        <v>272</v>
      </c>
      <c r="H18" s="161">
        <v>2024.0</v>
      </c>
      <c r="I18" s="161">
        <v>2025.0</v>
      </c>
      <c r="J18" s="161">
        <v>2026.0</v>
      </c>
      <c r="K18" s="161">
        <v>2027.0</v>
      </c>
      <c r="L18" s="161">
        <v>2028.0</v>
      </c>
    </row>
    <row r="19">
      <c r="B19" s="452">
        <f t="shared" ref="B19:F19" si="3">B18*-1</f>
        <v>20363000</v>
      </c>
      <c r="C19" s="452">
        <f t="shared" si="3"/>
        <v>11280000</v>
      </c>
      <c r="D19" s="452">
        <f t="shared" si="3"/>
        <v>10400000</v>
      </c>
      <c r="E19" s="452">
        <f t="shared" si="3"/>
        <v>12500000</v>
      </c>
      <c r="F19" s="452">
        <f t="shared" si="3"/>
        <v>24100000</v>
      </c>
      <c r="G19" s="475">
        <f>AVERAGE(C20:F20)</f>
        <v>0.1514636937</v>
      </c>
      <c r="H19" s="486">
        <f>F19*(1+$G$19)</f>
        <v>27750275.02</v>
      </c>
      <c r="I19" s="486">
        <f t="shared" ref="I19:L19" si="4">H19*(1+$G$19)</f>
        <v>31953434.17</v>
      </c>
      <c r="J19" s="486">
        <f t="shared" si="4"/>
        <v>36793219.34</v>
      </c>
      <c r="K19" s="486">
        <f t="shared" si="4"/>
        <v>42366056.24</v>
      </c>
      <c r="L19" s="486">
        <f t="shared" si="4"/>
        <v>48782975.61</v>
      </c>
    </row>
    <row r="20">
      <c r="B20" s="452"/>
      <c r="C20" s="488">
        <f t="shared" ref="C20:F20" si="5">(C19-B19)/B19</f>
        <v>-0.4460541178</v>
      </c>
      <c r="D20" s="488">
        <f t="shared" si="5"/>
        <v>-0.0780141844</v>
      </c>
      <c r="E20" s="488">
        <f t="shared" si="5"/>
        <v>0.2019230769</v>
      </c>
      <c r="F20" s="488">
        <f t="shared" si="5"/>
        <v>0.928</v>
      </c>
    </row>
    <row r="21" ht="15.75" customHeight="1">
      <c r="A21" s="77" t="s">
        <v>276</v>
      </c>
      <c r="B21" s="33">
        <v>-1.9952E7</v>
      </c>
      <c r="C21" s="33">
        <v>-1.0971E7</v>
      </c>
      <c r="D21" s="33">
        <v>-1.03E7</v>
      </c>
      <c r="E21" s="33">
        <v>-1.24E7</v>
      </c>
      <c r="F21" s="33">
        <v>-2.31E7</v>
      </c>
    </row>
    <row r="22" ht="15.75" customHeight="1">
      <c r="A22" s="77" t="s">
        <v>277</v>
      </c>
      <c r="B22" s="33">
        <v>6.3012E7</v>
      </c>
      <c r="C22" s="33">
        <v>3.2097E7</v>
      </c>
      <c r="D22" s="33">
        <v>6.27E7</v>
      </c>
      <c r="E22" s="33">
        <v>6.27E7</v>
      </c>
      <c r="F22" s="33">
        <v>2.77E7</v>
      </c>
    </row>
    <row r="23" ht="15.75" customHeight="1">
      <c r="A23" s="77" t="s">
        <v>279</v>
      </c>
      <c r="B23" s="33">
        <v>-1.6336E7</v>
      </c>
      <c r="C23" s="33">
        <v>-9777000.0</v>
      </c>
      <c r="D23" s="33">
        <v>-2.05E7</v>
      </c>
      <c r="E23" s="33">
        <v>-1.77E7</v>
      </c>
      <c r="F23" s="33">
        <v>2.81E7</v>
      </c>
    </row>
    <row r="24" ht="15.75" customHeight="1">
      <c r="A24" s="77" t="s">
        <v>280</v>
      </c>
      <c r="B24" s="33">
        <v>4.6676E7</v>
      </c>
      <c r="C24" s="33">
        <v>2.232E7</v>
      </c>
      <c r="D24" s="33">
        <v>4.22E7</v>
      </c>
      <c r="E24" s="33">
        <v>4.5E7</v>
      </c>
      <c r="F24" s="33">
        <v>5.58E7</v>
      </c>
    </row>
    <row r="25" ht="15.75" customHeight="1">
      <c r="A25" s="77" t="s">
        <v>281</v>
      </c>
      <c r="B25" s="33">
        <v>-4.4101E7</v>
      </c>
      <c r="C25" s="33">
        <v>-1052000.0</v>
      </c>
      <c r="D25" s="33">
        <v>3.47E7</v>
      </c>
      <c r="E25" s="33">
        <v>-2.89E7</v>
      </c>
      <c r="F25" s="33">
        <v>-2.845E8</v>
      </c>
    </row>
    <row r="26" ht="15.75" customHeight="1">
      <c r="A26" s="77" t="s">
        <v>283</v>
      </c>
      <c r="B26" s="33">
        <v>9244000.0</v>
      </c>
      <c r="C26" s="33">
        <v>0.0</v>
      </c>
      <c r="D26" s="33">
        <v>-4700000.0</v>
      </c>
      <c r="E26" s="33">
        <v>8100000.0</v>
      </c>
      <c r="F26" s="33">
        <v>-1200000.0</v>
      </c>
    </row>
    <row r="27" ht="15.75" customHeight="1">
      <c r="A27" s="77" t="s">
        <v>284</v>
      </c>
      <c r="B27" s="33">
        <v>-3.4857E7</v>
      </c>
      <c r="C27" s="33">
        <v>-1052000.0</v>
      </c>
      <c r="D27" s="33">
        <v>3.0E7</v>
      </c>
      <c r="E27" s="33">
        <v>-2.08E7</v>
      </c>
      <c r="F27" s="33">
        <v>-2.857E8</v>
      </c>
    </row>
    <row r="28" ht="15.75" customHeight="1">
      <c r="A28" s="77" t="s">
        <v>285</v>
      </c>
      <c r="B28" s="33">
        <v>1.1819E7</v>
      </c>
      <c r="C28" s="33">
        <v>2.1268E7</v>
      </c>
      <c r="D28" s="33">
        <v>7.22E7</v>
      </c>
      <c r="E28" s="33">
        <v>2.42E7</v>
      </c>
      <c r="F28" s="33">
        <v>-2.299E8</v>
      </c>
    </row>
    <row r="29" ht="15.75" customHeight="1">
      <c r="A29" s="77" t="s">
        <v>286</v>
      </c>
      <c r="B29" s="33">
        <v>0.0</v>
      </c>
      <c r="C29" s="33">
        <v>0.0</v>
      </c>
      <c r="D29" s="33">
        <v>0.0</v>
      </c>
      <c r="E29" s="33">
        <v>0.0</v>
      </c>
      <c r="F29" s="33">
        <v>0.0</v>
      </c>
    </row>
    <row r="30" ht="15.75" customHeight="1">
      <c r="A30" s="77" t="s">
        <v>287</v>
      </c>
      <c r="B30" s="33">
        <v>2.13734E8</v>
      </c>
      <c r="C30" s="33">
        <v>2.14437E8</v>
      </c>
      <c r="D30" s="33">
        <v>3.02627E8</v>
      </c>
      <c r="E30" s="33">
        <v>3.03283E8</v>
      </c>
      <c r="F30" s="33">
        <v>3.04248E8</v>
      </c>
    </row>
    <row r="31" ht="15.75" customHeight="1">
      <c r="A31" s="77" t="s">
        <v>288</v>
      </c>
      <c r="B31" s="33">
        <v>2.07222774E8</v>
      </c>
      <c r="C31" s="33">
        <v>2.14163264E8</v>
      </c>
      <c r="D31" s="33">
        <v>2.64273802E8</v>
      </c>
      <c r="E31" s="33">
        <v>3.0321021E8</v>
      </c>
      <c r="F31" s="33">
        <v>3.03851779E8</v>
      </c>
    </row>
    <row r="32" ht="15.75" customHeight="1">
      <c r="A32" s="77" t="s">
        <v>289</v>
      </c>
      <c r="B32" s="33">
        <v>22.52</v>
      </c>
      <c r="C32" s="33">
        <v>10.42</v>
      </c>
      <c r="D32" s="33">
        <v>15.9</v>
      </c>
      <c r="E32" s="33">
        <v>14.84</v>
      </c>
      <c r="F32" s="33">
        <v>18.36</v>
      </c>
    </row>
    <row r="33" ht="15.75" customHeight="1">
      <c r="A33" s="77" t="s">
        <v>290</v>
      </c>
      <c r="B33" s="33">
        <v>5.7</v>
      </c>
      <c r="C33" s="33">
        <v>9.93</v>
      </c>
      <c r="D33" s="33">
        <v>27.2</v>
      </c>
      <c r="E33" s="33">
        <v>7.98</v>
      </c>
      <c r="F33" s="33">
        <v>-75.66</v>
      </c>
    </row>
    <row r="34" ht="15.75" customHeight="1">
      <c r="B34" s="495"/>
      <c r="C34" s="448"/>
      <c r="D34" s="448"/>
      <c r="E34" s="448"/>
      <c r="F34" s="448"/>
    </row>
    <row r="35" ht="15.0" customHeight="1">
      <c r="B35" s="495"/>
      <c r="C35" s="448"/>
      <c r="D35" s="448"/>
      <c r="E35" s="448"/>
      <c r="F35" s="448"/>
    </row>
    <row r="36" ht="15.75" customHeight="1">
      <c r="B36" s="448"/>
      <c r="C36" s="448"/>
      <c r="D36" s="448"/>
      <c r="E36" s="448"/>
      <c r="F36" s="448"/>
    </row>
    <row r="37" ht="15.0" customHeight="1">
      <c r="A37" s="77" t="s">
        <v>294</v>
      </c>
      <c r="B37" s="448"/>
      <c r="C37" s="448"/>
      <c r="D37" s="448"/>
      <c r="E37" s="448"/>
      <c r="F37" s="448"/>
    </row>
    <row r="38" ht="15.0" customHeight="1">
      <c r="A38" s="77" t="s">
        <v>295</v>
      </c>
      <c r="B38" s="448"/>
      <c r="C38" s="448"/>
      <c r="D38" s="448"/>
      <c r="E38" s="448"/>
      <c r="F38" s="448"/>
    </row>
    <row r="39" ht="15.0" customHeight="1">
      <c r="A39" s="77" t="s">
        <v>296</v>
      </c>
      <c r="B39" s="448"/>
      <c r="C39" s="448"/>
      <c r="D39" s="448"/>
      <c r="E39" s="448"/>
      <c r="F39" s="448"/>
    </row>
    <row r="40" ht="15.75" customHeight="1">
      <c r="B40" s="448"/>
      <c r="C40" s="448"/>
      <c r="D40" s="448"/>
      <c r="E40" s="448"/>
      <c r="F40" s="448"/>
    </row>
    <row r="41" ht="15.0" customHeight="1">
      <c r="A41" s="77" t="s">
        <v>297</v>
      </c>
      <c r="B41" s="448"/>
      <c r="C41" s="448"/>
      <c r="D41" s="448"/>
      <c r="E41" s="448"/>
      <c r="F41" s="448"/>
    </row>
    <row r="42" ht="15.75" customHeight="1">
      <c r="B42" s="448"/>
      <c r="C42" s="448"/>
      <c r="D42" s="448"/>
      <c r="E42" s="448"/>
      <c r="F42" s="448"/>
    </row>
    <row r="43" ht="15.75" customHeight="1">
      <c r="B43" s="448"/>
      <c r="C43" s="448"/>
      <c r="D43" s="448"/>
      <c r="E43" s="448"/>
      <c r="F43" s="448"/>
    </row>
    <row r="44" ht="15.75" customHeight="1">
      <c r="B44" s="448"/>
      <c r="C44" s="448"/>
      <c r="D44" s="448"/>
      <c r="E44" s="448"/>
      <c r="F44" s="448"/>
    </row>
    <row r="45" ht="15.75" customHeight="1">
      <c r="B45" s="448"/>
      <c r="C45" s="448"/>
      <c r="D45" s="448"/>
      <c r="E45" s="448"/>
      <c r="F45" s="448"/>
    </row>
    <row r="46" ht="15.75" customHeight="1">
      <c r="B46" s="448"/>
      <c r="C46" s="448"/>
      <c r="D46" s="448"/>
      <c r="E46" s="448"/>
      <c r="F46" s="448"/>
    </row>
    <row r="47" ht="15.75" customHeight="1">
      <c r="B47" s="448"/>
      <c r="C47" s="448"/>
      <c r="D47" s="448"/>
      <c r="E47" s="448"/>
      <c r="F47" s="448"/>
    </row>
    <row r="48" ht="15.75" customHeight="1">
      <c r="B48" s="448"/>
      <c r="C48" s="448"/>
      <c r="D48" s="448"/>
      <c r="E48" s="448"/>
      <c r="F48" s="448"/>
    </row>
    <row r="49" ht="15.75" customHeight="1">
      <c r="B49" s="448"/>
      <c r="C49" s="448"/>
      <c r="D49" s="448"/>
      <c r="E49" s="448"/>
      <c r="F49" s="448"/>
    </row>
    <row r="50" ht="15.75" customHeight="1">
      <c r="B50" s="448"/>
      <c r="C50" s="448"/>
      <c r="D50" s="448"/>
      <c r="E50" s="448"/>
      <c r="F50" s="448"/>
    </row>
    <row r="51" ht="15.75" customHeight="1">
      <c r="B51" s="448"/>
      <c r="C51" s="448"/>
      <c r="D51" s="448"/>
      <c r="E51" s="448"/>
      <c r="F51" s="448"/>
    </row>
    <row r="52" ht="15.75" customHeight="1">
      <c r="B52" s="448"/>
      <c r="C52" s="448"/>
      <c r="D52" s="448"/>
      <c r="E52" s="448"/>
      <c r="F52" s="448"/>
    </row>
    <row r="53" ht="15.75" customHeight="1">
      <c r="B53" s="448"/>
      <c r="C53" s="448"/>
      <c r="D53" s="448"/>
      <c r="E53" s="448"/>
      <c r="F53" s="448"/>
    </row>
    <row r="54" ht="15.75" customHeight="1">
      <c r="B54" s="448"/>
      <c r="C54" s="448"/>
      <c r="D54" s="448"/>
      <c r="E54" s="448"/>
      <c r="F54" s="448"/>
    </row>
    <row r="55" ht="15.75" customHeight="1">
      <c r="B55" s="448"/>
      <c r="C55" s="448"/>
      <c r="D55" s="448"/>
      <c r="E55" s="448"/>
      <c r="F55" s="448"/>
    </row>
    <row r="56" ht="15.75" customHeight="1">
      <c r="B56" s="448"/>
      <c r="C56" s="448"/>
      <c r="D56" s="448"/>
      <c r="E56" s="448"/>
      <c r="F56" s="448"/>
    </row>
    <row r="57" ht="15.75" customHeight="1">
      <c r="B57" s="448"/>
      <c r="C57" s="448"/>
      <c r="D57" s="448"/>
      <c r="E57" s="448"/>
      <c r="F57" s="448"/>
    </row>
    <row r="58" ht="15.75" customHeight="1">
      <c r="B58" s="448"/>
      <c r="C58" s="448"/>
      <c r="D58" s="448"/>
      <c r="E58" s="448"/>
      <c r="F58" s="448"/>
    </row>
    <row r="59" ht="15.75" customHeight="1">
      <c r="B59" s="448"/>
      <c r="C59" s="448"/>
      <c r="D59" s="448"/>
      <c r="E59" s="448"/>
      <c r="F59" s="448"/>
    </row>
    <row r="60" ht="15.75" customHeight="1">
      <c r="B60" s="448"/>
      <c r="C60" s="448"/>
      <c r="D60" s="448"/>
      <c r="E60" s="448"/>
      <c r="F60" s="448"/>
    </row>
    <row r="61" ht="15.75" customHeight="1">
      <c r="B61" s="448"/>
      <c r="C61" s="448"/>
      <c r="D61" s="448"/>
      <c r="E61" s="448"/>
      <c r="F61" s="448"/>
    </row>
    <row r="62" ht="15.75" customHeight="1">
      <c r="B62" s="448"/>
      <c r="C62" s="448"/>
      <c r="D62" s="448"/>
      <c r="E62" s="448"/>
      <c r="F62" s="448"/>
    </row>
    <row r="63" ht="15.75" customHeight="1">
      <c r="B63" s="448"/>
      <c r="C63" s="448"/>
      <c r="D63" s="448"/>
      <c r="E63" s="448"/>
      <c r="F63" s="448"/>
    </row>
    <row r="64" ht="15.75" customHeight="1">
      <c r="B64" s="448"/>
      <c r="C64" s="448"/>
      <c r="D64" s="448"/>
      <c r="E64" s="448"/>
      <c r="F64" s="448"/>
    </row>
    <row r="65" ht="15.75" customHeight="1">
      <c r="B65" s="448"/>
      <c r="C65" s="448"/>
      <c r="D65" s="448"/>
      <c r="E65" s="448"/>
      <c r="F65" s="448"/>
    </row>
    <row r="66" ht="15.75" customHeight="1">
      <c r="B66" s="448"/>
      <c r="C66" s="448"/>
      <c r="D66" s="448"/>
      <c r="E66" s="448"/>
      <c r="F66" s="448"/>
    </row>
    <row r="67" ht="15.75" customHeight="1">
      <c r="B67" s="448"/>
      <c r="C67" s="448"/>
      <c r="D67" s="448"/>
      <c r="E67" s="448"/>
      <c r="F67" s="448"/>
    </row>
    <row r="68" ht="15.75" customHeight="1">
      <c r="B68" s="448"/>
      <c r="C68" s="448"/>
      <c r="D68" s="448"/>
      <c r="E68" s="448"/>
      <c r="F68" s="448"/>
    </row>
    <row r="69" ht="15.75" customHeight="1">
      <c r="B69" s="448"/>
      <c r="C69" s="448"/>
      <c r="D69" s="448"/>
      <c r="E69" s="448"/>
      <c r="F69" s="448"/>
    </row>
    <row r="70" ht="15.75" customHeight="1">
      <c r="B70" s="448"/>
      <c r="C70" s="448"/>
      <c r="D70" s="448"/>
      <c r="E70" s="448"/>
      <c r="F70" s="448"/>
    </row>
    <row r="71" ht="15.75" customHeight="1">
      <c r="B71" s="448"/>
      <c r="C71" s="448"/>
      <c r="D71" s="448"/>
      <c r="E71" s="448"/>
      <c r="F71" s="448"/>
    </row>
    <row r="72" ht="15.75" customHeight="1">
      <c r="B72" s="448"/>
      <c r="C72" s="448"/>
      <c r="D72" s="448"/>
      <c r="E72" s="448"/>
      <c r="F72" s="448"/>
    </row>
    <row r="73" ht="15.75" customHeight="1">
      <c r="B73" s="448"/>
      <c r="C73" s="448"/>
      <c r="D73" s="448"/>
      <c r="E73" s="448"/>
      <c r="F73" s="448"/>
    </row>
    <row r="74" ht="15.75" customHeight="1">
      <c r="B74" s="448"/>
      <c r="C74" s="448"/>
      <c r="D74" s="448"/>
      <c r="E74" s="448"/>
      <c r="F74" s="448"/>
    </row>
    <row r="75" ht="15.75" customHeight="1">
      <c r="B75" s="448"/>
      <c r="C75" s="448"/>
      <c r="D75" s="448"/>
      <c r="E75" s="448"/>
      <c r="F75" s="448"/>
    </row>
    <row r="76" ht="15.75" customHeight="1">
      <c r="B76" s="448"/>
      <c r="C76" s="448"/>
      <c r="D76" s="448"/>
      <c r="E76" s="448"/>
      <c r="F76" s="448"/>
    </row>
    <row r="77" ht="15.75" customHeight="1">
      <c r="B77" s="448"/>
      <c r="C77" s="448"/>
      <c r="D77" s="448"/>
      <c r="E77" s="448"/>
      <c r="F77" s="448"/>
    </row>
    <row r="78" ht="15.75" customHeight="1">
      <c r="B78" s="448"/>
      <c r="C78" s="448"/>
      <c r="D78" s="448"/>
      <c r="E78" s="448"/>
      <c r="F78" s="448"/>
    </row>
    <row r="79" ht="15.75" customHeight="1">
      <c r="B79" s="448"/>
      <c r="C79" s="448"/>
      <c r="D79" s="448"/>
      <c r="E79" s="448"/>
      <c r="F79" s="448"/>
    </row>
    <row r="80" ht="15.75" customHeight="1">
      <c r="B80" s="448"/>
      <c r="C80" s="448"/>
      <c r="D80" s="448"/>
      <c r="E80" s="448"/>
      <c r="F80" s="448"/>
    </row>
    <row r="81" ht="15.75" customHeight="1">
      <c r="B81" s="448"/>
      <c r="C81" s="448"/>
      <c r="D81" s="448"/>
      <c r="E81" s="448"/>
      <c r="F81" s="448"/>
    </row>
    <row r="82" ht="15.75" customHeight="1">
      <c r="B82" s="448"/>
      <c r="C82" s="448"/>
      <c r="D82" s="448"/>
      <c r="E82" s="448"/>
      <c r="F82" s="448"/>
    </row>
    <row r="83" ht="15.75" customHeight="1">
      <c r="B83" s="448"/>
      <c r="C83" s="448"/>
      <c r="D83" s="448"/>
      <c r="E83" s="448"/>
      <c r="F83" s="448"/>
    </row>
    <row r="84" ht="15.75" customHeight="1">
      <c r="B84" s="448"/>
      <c r="C84" s="448"/>
      <c r="D84" s="448"/>
      <c r="E84" s="448"/>
      <c r="F84" s="448"/>
    </row>
    <row r="85" ht="15.75" customHeight="1">
      <c r="B85" s="448"/>
      <c r="C85" s="448"/>
      <c r="D85" s="448"/>
      <c r="E85" s="448"/>
      <c r="F85" s="448"/>
    </row>
    <row r="86" ht="15.75" customHeight="1">
      <c r="B86" s="448"/>
      <c r="C86" s="448"/>
      <c r="D86" s="448"/>
      <c r="E86" s="448"/>
      <c r="F86" s="448"/>
    </row>
    <row r="87" ht="15.75" customHeight="1">
      <c r="B87" s="448"/>
      <c r="C87" s="448"/>
      <c r="D87" s="448"/>
      <c r="E87" s="448"/>
      <c r="F87" s="448"/>
    </row>
    <row r="88" ht="15.75" customHeight="1">
      <c r="B88" s="448"/>
      <c r="C88" s="448"/>
      <c r="D88" s="448"/>
      <c r="E88" s="448"/>
      <c r="F88" s="448"/>
    </row>
    <row r="89" ht="15.75" customHeight="1">
      <c r="B89" s="448"/>
      <c r="C89" s="448"/>
      <c r="D89" s="448"/>
      <c r="E89" s="448"/>
      <c r="F89" s="448"/>
    </row>
    <row r="90" ht="15.75" customHeight="1">
      <c r="B90" s="448"/>
      <c r="C90" s="448"/>
      <c r="D90" s="448"/>
      <c r="E90" s="448"/>
      <c r="F90" s="448"/>
    </row>
    <row r="91" ht="15.75" customHeight="1">
      <c r="B91" s="448"/>
      <c r="C91" s="448"/>
      <c r="D91" s="448"/>
      <c r="E91" s="448"/>
      <c r="F91" s="448"/>
    </row>
    <row r="92" ht="15.75" customHeight="1">
      <c r="B92" s="448"/>
      <c r="C92" s="448"/>
      <c r="D92" s="448"/>
      <c r="E92" s="448"/>
      <c r="F92" s="448"/>
    </row>
    <row r="93" ht="15.75" customHeight="1">
      <c r="B93" s="448"/>
      <c r="C93" s="448"/>
      <c r="D93" s="448"/>
      <c r="E93" s="448"/>
      <c r="F93" s="448"/>
    </row>
    <row r="94" ht="15.75" customHeight="1">
      <c r="B94" s="448"/>
      <c r="C94" s="448"/>
      <c r="D94" s="448"/>
      <c r="E94" s="448"/>
      <c r="F94" s="448"/>
    </row>
    <row r="95" ht="15.75" customHeight="1">
      <c r="B95" s="448"/>
      <c r="C95" s="448"/>
      <c r="D95" s="448"/>
      <c r="E95" s="448"/>
      <c r="F95" s="448"/>
    </row>
    <row r="96" ht="15.75" customHeight="1">
      <c r="B96" s="448"/>
      <c r="C96" s="448"/>
      <c r="D96" s="448"/>
      <c r="E96" s="448"/>
      <c r="F96" s="448"/>
    </row>
    <row r="97" ht="15.75" customHeight="1">
      <c r="B97" s="448"/>
      <c r="C97" s="448"/>
      <c r="D97" s="448"/>
      <c r="E97" s="448"/>
      <c r="F97" s="448"/>
    </row>
    <row r="98" ht="15.75" customHeight="1">
      <c r="B98" s="448"/>
      <c r="C98" s="448"/>
      <c r="D98" s="448"/>
      <c r="E98" s="448"/>
      <c r="F98" s="448"/>
    </row>
    <row r="99" ht="15.75" customHeight="1">
      <c r="B99" s="448"/>
      <c r="C99" s="448"/>
      <c r="D99" s="448"/>
      <c r="E99" s="448"/>
      <c r="F99" s="448"/>
    </row>
    <row r="100" ht="15.75" customHeight="1">
      <c r="B100" s="448"/>
      <c r="C100" s="448"/>
      <c r="D100" s="448"/>
      <c r="E100" s="448"/>
      <c r="F100" s="448"/>
    </row>
    <row r="101" ht="15.75" customHeight="1">
      <c r="B101" s="448"/>
      <c r="C101" s="448"/>
      <c r="D101" s="448"/>
      <c r="E101" s="448"/>
      <c r="F101" s="448"/>
    </row>
    <row r="102" ht="15.75" customHeight="1">
      <c r="B102" s="448"/>
      <c r="C102" s="448"/>
      <c r="D102" s="448"/>
      <c r="E102" s="448"/>
      <c r="F102" s="448"/>
    </row>
    <row r="103" ht="15.75" customHeight="1">
      <c r="B103" s="448"/>
      <c r="C103" s="448"/>
      <c r="D103" s="448"/>
      <c r="E103" s="448"/>
      <c r="F103" s="448"/>
    </row>
    <row r="104" ht="15.75" customHeight="1">
      <c r="B104" s="448"/>
      <c r="C104" s="448"/>
      <c r="D104" s="448"/>
      <c r="E104" s="448"/>
      <c r="F104" s="448"/>
    </row>
    <row r="105" ht="15.75" customHeight="1">
      <c r="B105" s="448"/>
      <c r="C105" s="448"/>
      <c r="D105" s="448"/>
      <c r="E105" s="448"/>
      <c r="F105" s="448"/>
    </row>
    <row r="106" ht="15.75" customHeight="1">
      <c r="B106" s="448"/>
      <c r="C106" s="448"/>
      <c r="D106" s="448"/>
      <c r="E106" s="448"/>
      <c r="F106" s="448"/>
    </row>
    <row r="107" ht="15.75" customHeight="1">
      <c r="B107" s="448"/>
      <c r="C107" s="448"/>
      <c r="D107" s="448"/>
      <c r="E107" s="448"/>
      <c r="F107" s="448"/>
    </row>
    <row r="108" ht="15.75" customHeight="1">
      <c r="B108" s="448"/>
      <c r="C108" s="448"/>
      <c r="D108" s="448"/>
      <c r="E108" s="448"/>
      <c r="F108" s="448"/>
    </row>
    <row r="109" ht="15.75" customHeight="1">
      <c r="B109" s="448"/>
      <c r="C109" s="448"/>
      <c r="D109" s="448"/>
      <c r="E109" s="448"/>
      <c r="F109" s="448"/>
    </row>
    <row r="110" ht="15.75" customHeight="1">
      <c r="B110" s="448"/>
      <c r="C110" s="448"/>
      <c r="D110" s="448"/>
      <c r="E110" s="448"/>
      <c r="F110" s="448"/>
    </row>
    <row r="111" ht="15.75" customHeight="1">
      <c r="B111" s="448"/>
      <c r="C111" s="448"/>
      <c r="D111" s="448"/>
      <c r="E111" s="448"/>
      <c r="F111" s="448"/>
    </row>
    <row r="112" ht="15.75" customHeight="1">
      <c r="B112" s="448"/>
      <c r="C112" s="448"/>
      <c r="D112" s="448"/>
      <c r="E112" s="448"/>
      <c r="F112" s="448"/>
    </row>
    <row r="113" ht="15.75" customHeight="1">
      <c r="B113" s="448"/>
      <c r="C113" s="448"/>
      <c r="D113" s="448"/>
      <c r="E113" s="448"/>
      <c r="F113" s="448"/>
    </row>
    <row r="114" ht="15.75" customHeight="1">
      <c r="B114" s="448"/>
      <c r="C114" s="448"/>
      <c r="D114" s="448"/>
      <c r="E114" s="448"/>
      <c r="F114" s="448"/>
    </row>
    <row r="115" ht="15.75" customHeight="1">
      <c r="B115" s="448"/>
      <c r="C115" s="448"/>
      <c r="D115" s="448"/>
      <c r="E115" s="448"/>
      <c r="F115" s="448"/>
    </row>
    <row r="116" ht="15.75" customHeight="1">
      <c r="B116" s="448"/>
      <c r="C116" s="448"/>
      <c r="D116" s="448"/>
      <c r="E116" s="448"/>
      <c r="F116" s="448"/>
    </row>
    <row r="117" ht="15.75" customHeight="1">
      <c r="B117" s="448"/>
      <c r="C117" s="448"/>
      <c r="D117" s="448"/>
      <c r="E117" s="448"/>
      <c r="F117" s="448"/>
    </row>
    <row r="118" ht="15.75" customHeight="1">
      <c r="B118" s="448"/>
      <c r="C118" s="448"/>
      <c r="D118" s="448"/>
      <c r="E118" s="448"/>
      <c r="F118" s="448"/>
    </row>
    <row r="119" ht="15.75" customHeight="1">
      <c r="B119" s="448"/>
      <c r="C119" s="448"/>
      <c r="D119" s="448"/>
      <c r="E119" s="448"/>
      <c r="F119" s="448"/>
    </row>
    <row r="120" ht="15.75" customHeight="1">
      <c r="B120" s="448"/>
      <c r="C120" s="448"/>
      <c r="D120" s="448"/>
      <c r="E120" s="448"/>
      <c r="F120" s="448"/>
    </row>
    <row r="121" ht="15.75" customHeight="1">
      <c r="B121" s="448"/>
      <c r="C121" s="448"/>
      <c r="D121" s="448"/>
      <c r="E121" s="448"/>
      <c r="F121" s="448"/>
    </row>
    <row r="122" ht="15.75" customHeight="1">
      <c r="B122" s="448"/>
      <c r="C122" s="448"/>
      <c r="D122" s="448"/>
      <c r="E122" s="448"/>
      <c r="F122" s="448"/>
    </row>
    <row r="123" ht="15.75" customHeight="1">
      <c r="B123" s="448"/>
      <c r="C123" s="448"/>
      <c r="D123" s="448"/>
      <c r="E123" s="448"/>
      <c r="F123" s="448"/>
    </row>
    <row r="124" ht="15.75" customHeight="1">
      <c r="B124" s="448"/>
      <c r="C124" s="448"/>
      <c r="D124" s="448"/>
      <c r="E124" s="448"/>
      <c r="F124" s="448"/>
    </row>
    <row r="125" ht="15.75" customHeight="1">
      <c r="B125" s="448"/>
      <c r="C125" s="448"/>
      <c r="D125" s="448"/>
      <c r="E125" s="448"/>
      <c r="F125" s="448"/>
    </row>
    <row r="126" ht="15.75" customHeight="1">
      <c r="B126" s="448"/>
      <c r="C126" s="448"/>
      <c r="D126" s="448"/>
      <c r="E126" s="448"/>
      <c r="F126" s="448"/>
    </row>
    <row r="127" ht="15.75" customHeight="1">
      <c r="B127" s="448"/>
      <c r="C127" s="448"/>
      <c r="D127" s="448"/>
      <c r="E127" s="448"/>
      <c r="F127" s="448"/>
    </row>
    <row r="128" ht="15.75" customHeight="1">
      <c r="B128" s="448"/>
      <c r="C128" s="448"/>
      <c r="D128" s="448"/>
      <c r="E128" s="448"/>
      <c r="F128" s="448"/>
    </row>
    <row r="129" ht="15.75" customHeight="1">
      <c r="B129" s="448"/>
      <c r="C129" s="448"/>
      <c r="D129" s="448"/>
      <c r="E129" s="448"/>
      <c r="F129" s="448"/>
    </row>
    <row r="130" ht="15.75" customHeight="1">
      <c r="B130" s="448"/>
      <c r="C130" s="448"/>
      <c r="D130" s="448"/>
      <c r="E130" s="448"/>
      <c r="F130" s="448"/>
    </row>
    <row r="131" ht="15.75" customHeight="1">
      <c r="B131" s="448"/>
      <c r="C131" s="448"/>
      <c r="D131" s="448"/>
      <c r="E131" s="448"/>
      <c r="F131" s="448"/>
    </row>
    <row r="132" ht="15.75" customHeight="1">
      <c r="B132" s="448"/>
      <c r="C132" s="448"/>
      <c r="D132" s="448"/>
      <c r="E132" s="448"/>
      <c r="F132" s="448"/>
    </row>
    <row r="133" ht="15.75" customHeight="1">
      <c r="B133" s="448"/>
      <c r="C133" s="448"/>
      <c r="D133" s="448"/>
      <c r="E133" s="448"/>
      <c r="F133" s="448"/>
    </row>
    <row r="134" ht="15.75" customHeight="1">
      <c r="B134" s="448"/>
      <c r="C134" s="448"/>
      <c r="D134" s="448"/>
      <c r="E134" s="448"/>
      <c r="F134" s="448"/>
    </row>
    <row r="135" ht="15.75" customHeight="1">
      <c r="B135" s="448"/>
      <c r="C135" s="448"/>
      <c r="D135" s="448"/>
      <c r="E135" s="448"/>
      <c r="F135" s="448"/>
    </row>
    <row r="136" ht="15.75" customHeight="1">
      <c r="B136" s="448"/>
      <c r="C136" s="448"/>
      <c r="D136" s="448"/>
      <c r="E136" s="448"/>
      <c r="F136" s="448"/>
    </row>
    <row r="137" ht="15.75" customHeight="1">
      <c r="B137" s="448"/>
      <c r="C137" s="448"/>
      <c r="D137" s="448"/>
      <c r="E137" s="448"/>
      <c r="F137" s="448"/>
    </row>
    <row r="138" ht="15.75" customHeight="1">
      <c r="B138" s="448"/>
      <c r="C138" s="448"/>
      <c r="D138" s="448"/>
      <c r="E138" s="448"/>
      <c r="F138" s="448"/>
    </row>
    <row r="139" ht="15.75" customHeight="1">
      <c r="B139" s="448"/>
      <c r="C139" s="448"/>
      <c r="D139" s="448"/>
      <c r="E139" s="448"/>
      <c r="F139" s="448"/>
    </row>
    <row r="140" ht="15.75" customHeight="1">
      <c r="B140" s="448"/>
      <c r="C140" s="448"/>
      <c r="D140" s="448"/>
      <c r="E140" s="448"/>
      <c r="F140" s="448"/>
    </row>
    <row r="141" ht="15.75" customHeight="1">
      <c r="B141" s="448"/>
      <c r="C141" s="448"/>
      <c r="D141" s="448"/>
      <c r="E141" s="448"/>
      <c r="F141" s="448"/>
    </row>
    <row r="142" ht="15.75" customHeight="1">
      <c r="B142" s="448"/>
      <c r="C142" s="448"/>
      <c r="D142" s="448"/>
      <c r="E142" s="448"/>
      <c r="F142" s="448"/>
    </row>
    <row r="143" ht="15.75" customHeight="1">
      <c r="B143" s="448"/>
      <c r="C143" s="448"/>
      <c r="D143" s="448"/>
      <c r="E143" s="448"/>
      <c r="F143" s="448"/>
    </row>
    <row r="144" ht="15.75" customHeight="1">
      <c r="B144" s="448"/>
      <c r="C144" s="448"/>
      <c r="D144" s="448"/>
      <c r="E144" s="448"/>
      <c r="F144" s="448"/>
    </row>
    <row r="145" ht="15.75" customHeight="1">
      <c r="B145" s="448"/>
      <c r="C145" s="448"/>
      <c r="D145" s="448"/>
      <c r="E145" s="448"/>
      <c r="F145" s="448"/>
    </row>
    <row r="146" ht="15.75" customHeight="1">
      <c r="B146" s="448"/>
      <c r="C146" s="448"/>
      <c r="D146" s="448"/>
      <c r="E146" s="448"/>
      <c r="F146" s="448"/>
    </row>
    <row r="147" ht="15.75" customHeight="1">
      <c r="B147" s="448"/>
      <c r="C147" s="448"/>
      <c r="D147" s="448"/>
      <c r="E147" s="448"/>
      <c r="F147" s="448"/>
    </row>
    <row r="148" ht="15.75" customHeight="1">
      <c r="B148" s="448"/>
      <c r="C148" s="448"/>
      <c r="D148" s="448"/>
      <c r="E148" s="448"/>
      <c r="F148" s="448"/>
    </row>
    <row r="149" ht="15.75" customHeight="1">
      <c r="B149" s="448"/>
      <c r="C149" s="448"/>
      <c r="D149" s="448"/>
      <c r="E149" s="448"/>
      <c r="F149" s="448"/>
    </row>
    <row r="150" ht="15.75" customHeight="1">
      <c r="B150" s="448"/>
      <c r="C150" s="448"/>
      <c r="D150" s="448"/>
      <c r="E150" s="448"/>
      <c r="F150" s="448"/>
    </row>
    <row r="151" ht="15.75" customHeight="1">
      <c r="B151" s="448"/>
      <c r="C151" s="448"/>
      <c r="D151" s="448"/>
      <c r="E151" s="448"/>
      <c r="F151" s="448"/>
    </row>
    <row r="152" ht="15.75" customHeight="1">
      <c r="B152" s="448"/>
      <c r="C152" s="448"/>
      <c r="D152" s="448"/>
      <c r="E152" s="448"/>
      <c r="F152" s="448"/>
    </row>
    <row r="153" ht="15.75" customHeight="1">
      <c r="B153" s="448"/>
      <c r="C153" s="448"/>
      <c r="D153" s="448"/>
      <c r="E153" s="448"/>
      <c r="F153" s="448"/>
    </row>
    <row r="154" ht="15.75" customHeight="1">
      <c r="B154" s="448"/>
      <c r="C154" s="448"/>
      <c r="D154" s="448"/>
      <c r="E154" s="448"/>
      <c r="F154" s="448"/>
    </row>
    <row r="155" ht="15.75" customHeight="1">
      <c r="B155" s="448"/>
      <c r="C155" s="448"/>
      <c r="D155" s="448"/>
      <c r="E155" s="448"/>
      <c r="F155" s="448"/>
    </row>
    <row r="156" ht="15.75" customHeight="1">
      <c r="B156" s="448"/>
      <c r="C156" s="448"/>
      <c r="D156" s="448"/>
      <c r="E156" s="448"/>
      <c r="F156" s="448"/>
    </row>
    <row r="157" ht="15.75" customHeight="1">
      <c r="B157" s="448"/>
      <c r="C157" s="448"/>
      <c r="D157" s="448"/>
      <c r="E157" s="448"/>
      <c r="F157" s="448"/>
    </row>
    <row r="158" ht="15.75" customHeight="1">
      <c r="B158" s="448"/>
      <c r="C158" s="448"/>
      <c r="D158" s="448"/>
      <c r="E158" s="448"/>
      <c r="F158" s="448"/>
    </row>
    <row r="159" ht="15.75" customHeight="1">
      <c r="B159" s="448"/>
      <c r="C159" s="448"/>
      <c r="D159" s="448"/>
      <c r="E159" s="448"/>
      <c r="F159" s="448"/>
    </row>
    <row r="160" ht="15.75" customHeight="1">
      <c r="B160" s="448"/>
      <c r="C160" s="448"/>
      <c r="D160" s="448"/>
      <c r="E160" s="448"/>
      <c r="F160" s="448"/>
    </row>
    <row r="161" ht="15.75" customHeight="1">
      <c r="B161" s="448"/>
      <c r="C161" s="448"/>
      <c r="D161" s="448"/>
      <c r="E161" s="448"/>
      <c r="F161" s="448"/>
    </row>
    <row r="162" ht="15.75" customHeight="1">
      <c r="B162" s="448"/>
      <c r="C162" s="448"/>
      <c r="D162" s="448"/>
      <c r="E162" s="448"/>
      <c r="F162" s="448"/>
    </row>
    <row r="163" ht="15.75" customHeight="1">
      <c r="B163" s="448"/>
      <c r="C163" s="448"/>
      <c r="D163" s="448"/>
      <c r="E163" s="448"/>
      <c r="F163" s="448"/>
    </row>
    <row r="164" ht="15.75" customHeight="1">
      <c r="B164" s="448"/>
      <c r="C164" s="448"/>
      <c r="D164" s="448"/>
      <c r="E164" s="448"/>
      <c r="F164" s="448"/>
    </row>
    <row r="165" ht="15.75" customHeight="1">
      <c r="B165" s="448"/>
      <c r="C165" s="448"/>
      <c r="D165" s="448"/>
      <c r="E165" s="448"/>
      <c r="F165" s="448"/>
    </row>
    <row r="166" ht="15.75" customHeight="1">
      <c r="B166" s="448"/>
      <c r="C166" s="448"/>
      <c r="D166" s="448"/>
      <c r="E166" s="448"/>
      <c r="F166" s="448"/>
    </row>
    <row r="167" ht="15.75" customHeight="1">
      <c r="B167" s="448"/>
      <c r="C167" s="448"/>
      <c r="D167" s="448"/>
      <c r="E167" s="448"/>
      <c r="F167" s="448"/>
    </row>
    <row r="168" ht="15.75" customHeight="1">
      <c r="B168" s="448"/>
      <c r="C168" s="448"/>
      <c r="D168" s="448"/>
      <c r="E168" s="448"/>
      <c r="F168" s="448"/>
    </row>
    <row r="169" ht="15.75" customHeight="1">
      <c r="B169" s="448"/>
      <c r="C169" s="448"/>
      <c r="D169" s="448"/>
      <c r="E169" s="448"/>
      <c r="F169" s="448"/>
    </row>
    <row r="170" ht="15.75" customHeight="1">
      <c r="B170" s="448"/>
      <c r="C170" s="448"/>
      <c r="D170" s="448"/>
      <c r="E170" s="448"/>
      <c r="F170" s="448"/>
    </row>
    <row r="171" ht="15.75" customHeight="1">
      <c r="B171" s="448"/>
      <c r="C171" s="448"/>
      <c r="D171" s="448"/>
      <c r="E171" s="448"/>
      <c r="F171" s="448"/>
    </row>
    <row r="172" ht="15.75" customHeight="1">
      <c r="B172" s="448"/>
      <c r="C172" s="448"/>
      <c r="D172" s="448"/>
      <c r="E172" s="448"/>
      <c r="F172" s="448"/>
    </row>
    <row r="173" ht="15.75" customHeight="1">
      <c r="B173" s="448"/>
      <c r="C173" s="448"/>
      <c r="D173" s="448"/>
      <c r="E173" s="448"/>
      <c r="F173" s="448"/>
    </row>
    <row r="174" ht="15.75" customHeight="1">
      <c r="B174" s="448"/>
      <c r="C174" s="448"/>
      <c r="D174" s="448"/>
      <c r="E174" s="448"/>
      <c r="F174" s="448"/>
    </row>
    <row r="175" ht="15.75" customHeight="1">
      <c r="B175" s="448"/>
      <c r="C175" s="448"/>
      <c r="D175" s="448"/>
      <c r="E175" s="448"/>
      <c r="F175" s="448"/>
    </row>
    <row r="176" ht="15.75" customHeight="1">
      <c r="B176" s="448"/>
      <c r="C176" s="448"/>
      <c r="D176" s="448"/>
      <c r="E176" s="448"/>
      <c r="F176" s="448"/>
    </row>
    <row r="177" ht="15.75" customHeight="1">
      <c r="B177" s="448"/>
      <c r="C177" s="448"/>
      <c r="D177" s="448"/>
      <c r="E177" s="448"/>
      <c r="F177" s="448"/>
    </row>
    <row r="178" ht="15.75" customHeight="1">
      <c r="B178" s="448"/>
      <c r="C178" s="448"/>
      <c r="D178" s="448"/>
      <c r="E178" s="448"/>
      <c r="F178" s="448"/>
    </row>
    <row r="179" ht="15.75" customHeight="1">
      <c r="B179" s="448"/>
      <c r="C179" s="448"/>
      <c r="D179" s="448"/>
      <c r="E179" s="448"/>
      <c r="F179" s="448"/>
    </row>
    <row r="180" ht="15.75" customHeight="1">
      <c r="B180" s="448"/>
      <c r="C180" s="448"/>
      <c r="D180" s="448"/>
      <c r="E180" s="448"/>
      <c r="F180" s="448"/>
    </row>
    <row r="181" ht="15.75" customHeight="1">
      <c r="B181" s="448"/>
      <c r="C181" s="448"/>
      <c r="D181" s="448"/>
      <c r="E181" s="448"/>
      <c r="F181" s="448"/>
    </row>
    <row r="182" ht="15.75" customHeight="1">
      <c r="B182" s="448"/>
      <c r="C182" s="448"/>
      <c r="D182" s="448"/>
      <c r="E182" s="448"/>
      <c r="F182" s="448"/>
    </row>
    <row r="183" ht="15.75" customHeight="1">
      <c r="B183" s="448"/>
      <c r="C183" s="448"/>
      <c r="D183" s="448"/>
      <c r="E183" s="448"/>
      <c r="F183" s="448"/>
    </row>
    <row r="184" ht="15.75" customHeight="1">
      <c r="B184" s="448"/>
      <c r="C184" s="448"/>
      <c r="D184" s="448"/>
      <c r="E184" s="448"/>
      <c r="F184" s="448"/>
    </row>
    <row r="185" ht="15.75" customHeight="1">
      <c r="B185" s="448"/>
      <c r="C185" s="448"/>
      <c r="D185" s="448"/>
      <c r="E185" s="448"/>
      <c r="F185" s="448"/>
    </row>
    <row r="186" ht="15.75" customHeight="1">
      <c r="B186" s="448"/>
      <c r="C186" s="448"/>
      <c r="D186" s="448"/>
      <c r="E186" s="448"/>
      <c r="F186" s="448"/>
    </row>
    <row r="187" ht="15.75" customHeight="1">
      <c r="B187" s="448"/>
      <c r="C187" s="448"/>
      <c r="D187" s="448"/>
      <c r="E187" s="448"/>
      <c r="F187" s="448"/>
    </row>
    <row r="188" ht="15.75" customHeight="1">
      <c r="B188" s="448"/>
      <c r="C188" s="448"/>
      <c r="D188" s="448"/>
      <c r="E188" s="448"/>
      <c r="F188" s="448"/>
    </row>
    <row r="189" ht="15.75" customHeight="1">
      <c r="B189" s="448"/>
      <c r="C189" s="448"/>
      <c r="D189" s="448"/>
      <c r="E189" s="448"/>
      <c r="F189" s="448"/>
    </row>
    <row r="190" ht="15.75" customHeight="1">
      <c r="B190" s="448"/>
      <c r="C190" s="448"/>
      <c r="D190" s="448"/>
      <c r="E190" s="448"/>
      <c r="F190" s="448"/>
    </row>
    <row r="191" ht="15.75" customHeight="1">
      <c r="B191" s="448"/>
      <c r="C191" s="448"/>
      <c r="D191" s="448"/>
      <c r="E191" s="448"/>
      <c r="F191" s="448"/>
    </row>
    <row r="192" ht="15.75" customHeight="1">
      <c r="B192" s="448"/>
      <c r="C192" s="448"/>
      <c r="D192" s="448"/>
      <c r="E192" s="448"/>
      <c r="F192" s="448"/>
    </row>
    <row r="193" ht="15.75" customHeight="1">
      <c r="B193" s="448"/>
      <c r="C193" s="448"/>
      <c r="D193" s="448"/>
      <c r="E193" s="448"/>
      <c r="F193" s="448"/>
    </row>
    <row r="194" ht="15.75" customHeight="1">
      <c r="B194" s="448"/>
      <c r="C194" s="448"/>
      <c r="D194" s="448"/>
      <c r="E194" s="448"/>
      <c r="F194" s="448"/>
    </row>
    <row r="195" ht="15.75" customHeight="1">
      <c r="B195" s="448"/>
      <c r="C195" s="448"/>
      <c r="D195" s="448"/>
      <c r="E195" s="448"/>
      <c r="F195" s="448"/>
    </row>
    <row r="196" ht="15.75" customHeight="1">
      <c r="B196" s="448"/>
      <c r="C196" s="448"/>
      <c r="D196" s="448"/>
      <c r="E196" s="448"/>
      <c r="F196" s="448"/>
    </row>
    <row r="197" ht="15.75" customHeight="1">
      <c r="B197" s="448"/>
      <c r="C197" s="448"/>
      <c r="D197" s="448"/>
      <c r="E197" s="448"/>
      <c r="F197" s="448"/>
    </row>
    <row r="198" ht="15.75" customHeight="1">
      <c r="B198" s="448"/>
      <c r="C198" s="448"/>
      <c r="D198" s="448"/>
      <c r="E198" s="448"/>
      <c r="F198" s="448"/>
    </row>
    <row r="199" ht="15.75" customHeight="1">
      <c r="B199" s="448"/>
      <c r="C199" s="448"/>
      <c r="D199" s="448"/>
      <c r="E199" s="448"/>
      <c r="F199" s="448"/>
    </row>
    <row r="200" ht="15.75" customHeight="1">
      <c r="B200" s="448"/>
      <c r="C200" s="448"/>
      <c r="D200" s="448"/>
      <c r="E200" s="448"/>
      <c r="F200" s="448"/>
    </row>
    <row r="201" ht="15.75" customHeight="1">
      <c r="B201" s="448"/>
      <c r="C201" s="448"/>
      <c r="D201" s="448"/>
      <c r="E201" s="448"/>
      <c r="F201" s="448"/>
    </row>
    <row r="202" ht="15.75" customHeight="1">
      <c r="B202" s="448"/>
      <c r="C202" s="448"/>
      <c r="D202" s="448"/>
      <c r="E202" s="448"/>
      <c r="F202" s="448"/>
    </row>
    <row r="203" ht="15.75" customHeight="1">
      <c r="B203" s="448"/>
      <c r="C203" s="448"/>
      <c r="D203" s="448"/>
      <c r="E203" s="448"/>
      <c r="F203" s="448"/>
    </row>
    <row r="204" ht="15.75" customHeight="1">
      <c r="B204" s="448"/>
      <c r="C204" s="448"/>
      <c r="D204" s="448"/>
      <c r="E204" s="448"/>
      <c r="F204" s="448"/>
    </row>
    <row r="205" ht="15.75" customHeight="1">
      <c r="B205" s="448"/>
      <c r="C205" s="448"/>
      <c r="D205" s="448"/>
      <c r="E205" s="448"/>
      <c r="F205" s="448"/>
    </row>
    <row r="206" ht="15.75" customHeight="1">
      <c r="B206" s="448"/>
      <c r="C206" s="448"/>
      <c r="D206" s="448"/>
      <c r="E206" s="448"/>
      <c r="F206" s="448"/>
    </row>
    <row r="207" ht="15.75" customHeight="1">
      <c r="B207" s="448"/>
      <c r="C207" s="448"/>
      <c r="D207" s="448"/>
      <c r="E207" s="448"/>
      <c r="F207" s="448"/>
    </row>
    <row r="208" ht="15.75" customHeight="1">
      <c r="B208" s="448"/>
      <c r="C208" s="448"/>
      <c r="D208" s="448"/>
      <c r="E208" s="448"/>
      <c r="F208" s="448"/>
    </row>
    <row r="209" ht="15.75" customHeight="1">
      <c r="B209" s="448"/>
      <c r="C209" s="448"/>
      <c r="D209" s="448"/>
      <c r="E209" s="448"/>
      <c r="F209" s="448"/>
    </row>
    <row r="210" ht="15.75" customHeight="1">
      <c r="B210" s="448"/>
      <c r="C210" s="448"/>
      <c r="D210" s="448"/>
      <c r="E210" s="448"/>
      <c r="F210" s="448"/>
    </row>
    <row r="211" ht="15.75" customHeight="1">
      <c r="B211" s="448"/>
      <c r="C211" s="448"/>
      <c r="D211" s="448"/>
      <c r="E211" s="448"/>
      <c r="F211" s="448"/>
    </row>
    <row r="212" ht="15.75" customHeight="1">
      <c r="B212" s="448"/>
      <c r="C212" s="448"/>
      <c r="D212" s="448"/>
      <c r="E212" s="448"/>
      <c r="F212" s="448"/>
    </row>
    <row r="213" ht="15.75" customHeight="1">
      <c r="B213" s="448"/>
      <c r="C213" s="448"/>
      <c r="D213" s="448"/>
      <c r="E213" s="448"/>
      <c r="F213" s="448"/>
    </row>
    <row r="214" ht="15.75" customHeight="1">
      <c r="B214" s="448"/>
      <c r="C214" s="448"/>
      <c r="D214" s="448"/>
      <c r="E214" s="448"/>
      <c r="F214" s="448"/>
    </row>
    <row r="215" ht="15.75" customHeight="1">
      <c r="B215" s="448"/>
      <c r="C215" s="448"/>
      <c r="D215" s="448"/>
      <c r="E215" s="448"/>
      <c r="F215" s="448"/>
    </row>
    <row r="216" ht="15.75" customHeight="1">
      <c r="B216" s="448"/>
      <c r="C216" s="448"/>
      <c r="D216" s="448"/>
      <c r="E216" s="448"/>
      <c r="F216" s="448"/>
    </row>
    <row r="217" ht="15.75" customHeight="1">
      <c r="B217" s="448"/>
      <c r="C217" s="448"/>
      <c r="D217" s="448"/>
      <c r="E217" s="448"/>
      <c r="F217" s="448"/>
    </row>
    <row r="218" ht="15.75" customHeight="1">
      <c r="B218" s="448"/>
      <c r="C218" s="448"/>
      <c r="D218" s="448"/>
      <c r="E218" s="448"/>
      <c r="F218" s="448"/>
    </row>
    <row r="219" ht="15.75" customHeight="1">
      <c r="B219" s="448"/>
      <c r="C219" s="448"/>
      <c r="D219" s="448"/>
      <c r="E219" s="448"/>
      <c r="F219" s="448"/>
    </row>
    <row r="220" ht="15.75" customHeight="1">
      <c r="B220" s="448"/>
      <c r="C220" s="448"/>
      <c r="D220" s="448"/>
      <c r="E220" s="448"/>
      <c r="F220" s="448"/>
    </row>
    <row r="221" ht="15.75" customHeight="1">
      <c r="B221" s="448"/>
      <c r="C221" s="448"/>
      <c r="D221" s="448"/>
      <c r="E221" s="448"/>
      <c r="F221" s="448"/>
    </row>
    <row r="222" ht="15.75" customHeight="1">
      <c r="B222" s="448"/>
      <c r="C222" s="448"/>
      <c r="D222" s="448"/>
      <c r="E222" s="448"/>
      <c r="F222" s="448"/>
    </row>
    <row r="223" ht="15.75" customHeight="1">
      <c r="B223" s="448"/>
      <c r="C223" s="448"/>
      <c r="D223" s="448"/>
      <c r="E223" s="448"/>
      <c r="F223" s="448"/>
    </row>
    <row r="224" ht="15.75" customHeight="1">
      <c r="B224" s="448"/>
      <c r="C224" s="448"/>
      <c r="D224" s="448"/>
      <c r="E224" s="448"/>
      <c r="F224" s="448"/>
    </row>
    <row r="225" ht="15.75" customHeight="1">
      <c r="B225" s="448"/>
      <c r="C225" s="448"/>
      <c r="D225" s="448"/>
      <c r="E225" s="448"/>
      <c r="F225" s="448"/>
    </row>
    <row r="226" ht="15.75" customHeight="1">
      <c r="B226" s="448"/>
      <c r="C226" s="448"/>
      <c r="D226" s="448"/>
      <c r="E226" s="448"/>
      <c r="F226" s="448"/>
    </row>
    <row r="227" ht="15.75" customHeight="1">
      <c r="B227" s="448"/>
      <c r="C227" s="448"/>
      <c r="D227" s="448"/>
      <c r="E227" s="448"/>
      <c r="F227" s="448"/>
    </row>
    <row r="228" ht="15.75" customHeight="1">
      <c r="B228" s="448"/>
      <c r="C228" s="448"/>
      <c r="D228" s="448"/>
      <c r="E228" s="448"/>
      <c r="F228" s="448"/>
    </row>
    <row r="229" ht="15.75" customHeight="1">
      <c r="B229" s="448"/>
      <c r="C229" s="448"/>
      <c r="D229" s="448"/>
      <c r="E229" s="448"/>
      <c r="F229" s="448"/>
    </row>
    <row r="230" ht="15.75" customHeight="1">
      <c r="B230" s="448"/>
      <c r="C230" s="448"/>
      <c r="D230" s="448"/>
      <c r="E230" s="448"/>
      <c r="F230" s="448"/>
    </row>
    <row r="231" ht="15.75" customHeight="1">
      <c r="B231" s="448"/>
      <c r="C231" s="448"/>
      <c r="D231" s="448"/>
      <c r="E231" s="448"/>
      <c r="F231" s="448"/>
    </row>
    <row r="232" ht="15.75" customHeight="1">
      <c r="B232" s="448"/>
      <c r="C232" s="448"/>
      <c r="D232" s="448"/>
      <c r="E232" s="448"/>
      <c r="F232" s="448"/>
    </row>
    <row r="233" ht="15.75" customHeight="1">
      <c r="B233" s="448"/>
      <c r="C233" s="448"/>
      <c r="D233" s="448"/>
      <c r="E233" s="448"/>
      <c r="F233" s="448"/>
    </row>
    <row r="234" ht="15.75" customHeight="1">
      <c r="B234" s="448"/>
      <c r="C234" s="448"/>
      <c r="D234" s="448"/>
      <c r="E234" s="448"/>
      <c r="F234" s="448"/>
    </row>
    <row r="235" ht="15.75" customHeight="1">
      <c r="B235" s="448"/>
      <c r="C235" s="448"/>
      <c r="D235" s="448"/>
      <c r="E235" s="448"/>
      <c r="F235" s="448"/>
    </row>
    <row r="236" ht="15.75" customHeight="1">
      <c r="B236" s="448"/>
      <c r="C236" s="448"/>
      <c r="D236" s="448"/>
      <c r="E236" s="448"/>
      <c r="F236" s="448"/>
    </row>
    <row r="237" ht="15.75" customHeight="1">
      <c r="B237" s="448"/>
      <c r="C237" s="448"/>
      <c r="D237" s="448"/>
      <c r="E237" s="448"/>
      <c r="F237" s="448"/>
    </row>
    <row r="238" ht="15.75" customHeight="1">
      <c r="B238" s="448"/>
      <c r="C238" s="448"/>
      <c r="D238" s="448"/>
      <c r="E238" s="448"/>
      <c r="F238" s="448"/>
    </row>
    <row r="239" ht="15.75" customHeight="1">
      <c r="B239" s="448"/>
      <c r="C239" s="448"/>
      <c r="D239" s="448"/>
      <c r="E239" s="448"/>
      <c r="F239" s="448"/>
    </row>
    <row r="240" ht="15.75" customHeight="1">
      <c r="B240" s="448"/>
      <c r="C240" s="448"/>
      <c r="D240" s="448"/>
      <c r="E240" s="448"/>
      <c r="F240" s="448"/>
    </row>
    <row r="241" ht="15.75" customHeight="1">
      <c r="B241" s="448"/>
      <c r="C241" s="448"/>
      <c r="D241" s="448"/>
      <c r="E241" s="448"/>
      <c r="F241" s="448"/>
    </row>
    <row r="242" ht="15.75" customHeight="1">
      <c r="B242" s="448"/>
      <c r="C242" s="448"/>
      <c r="D242" s="448"/>
      <c r="E242" s="448"/>
      <c r="F242" s="448"/>
    </row>
    <row r="243" ht="15.75" customHeight="1">
      <c r="B243" s="448"/>
      <c r="C243" s="448"/>
      <c r="D243" s="448"/>
      <c r="E243" s="448"/>
      <c r="F243" s="448"/>
    </row>
    <row r="244" ht="15.75" customHeight="1">
      <c r="B244" s="448"/>
      <c r="C244" s="448"/>
      <c r="D244" s="448"/>
      <c r="E244" s="448"/>
      <c r="F244" s="448"/>
    </row>
    <row r="245" ht="15.75" customHeight="1">
      <c r="B245" s="448"/>
      <c r="C245" s="448"/>
      <c r="D245" s="448"/>
      <c r="E245" s="448"/>
      <c r="F245" s="448"/>
    </row>
    <row r="246" ht="15.75" customHeight="1">
      <c r="B246" s="448"/>
      <c r="C246" s="448"/>
      <c r="D246" s="448"/>
      <c r="E246" s="448"/>
      <c r="F246" s="448"/>
    </row>
    <row r="247" ht="15.75" customHeight="1">
      <c r="B247" s="448"/>
      <c r="C247" s="448"/>
      <c r="D247" s="448"/>
      <c r="E247" s="448"/>
      <c r="F247" s="448"/>
    </row>
    <row r="248" ht="15.75" customHeight="1">
      <c r="B248" s="448"/>
      <c r="C248" s="448"/>
      <c r="D248" s="448"/>
      <c r="E248" s="448"/>
      <c r="F248" s="448"/>
    </row>
    <row r="249" ht="15.75" customHeight="1">
      <c r="B249" s="448"/>
      <c r="C249" s="448"/>
      <c r="D249" s="448"/>
      <c r="E249" s="448"/>
      <c r="F249" s="448"/>
    </row>
    <row r="250" ht="15.75" customHeight="1">
      <c r="B250" s="448"/>
      <c r="C250" s="448"/>
      <c r="D250" s="448"/>
      <c r="E250" s="448"/>
      <c r="F250" s="448"/>
    </row>
    <row r="251" ht="15.75" customHeight="1">
      <c r="B251" s="448"/>
      <c r="C251" s="448"/>
      <c r="D251" s="448"/>
      <c r="E251" s="448"/>
      <c r="F251" s="448"/>
    </row>
    <row r="252" ht="15.75" customHeight="1">
      <c r="B252" s="448"/>
      <c r="C252" s="448"/>
      <c r="D252" s="448"/>
      <c r="E252" s="448"/>
      <c r="F252" s="448"/>
    </row>
    <row r="253" ht="15.75" customHeight="1">
      <c r="B253" s="448"/>
      <c r="C253" s="448"/>
      <c r="D253" s="448"/>
      <c r="E253" s="448"/>
      <c r="F253" s="448"/>
    </row>
    <row r="254" ht="15.75" customHeight="1">
      <c r="B254" s="448"/>
      <c r="C254" s="448"/>
      <c r="D254" s="448"/>
      <c r="E254" s="448"/>
      <c r="F254" s="448"/>
    </row>
    <row r="255" ht="15.75" customHeight="1">
      <c r="B255" s="448"/>
      <c r="C255" s="448"/>
      <c r="D255" s="448"/>
      <c r="E255" s="448"/>
      <c r="F255" s="448"/>
    </row>
    <row r="256" ht="15.75" customHeight="1">
      <c r="B256" s="448"/>
      <c r="C256" s="448"/>
      <c r="D256" s="448"/>
      <c r="E256" s="448"/>
      <c r="F256" s="448"/>
    </row>
    <row r="257" ht="15.75" customHeight="1">
      <c r="B257" s="448"/>
      <c r="C257" s="448"/>
      <c r="D257" s="448"/>
      <c r="E257" s="448"/>
      <c r="F257" s="448"/>
    </row>
    <row r="258" ht="15.75" customHeight="1">
      <c r="B258" s="448"/>
      <c r="C258" s="448"/>
      <c r="D258" s="448"/>
      <c r="E258" s="448"/>
      <c r="F258" s="448"/>
    </row>
    <row r="259" ht="15.75" customHeight="1">
      <c r="B259" s="448"/>
      <c r="C259" s="448"/>
      <c r="D259" s="448"/>
      <c r="E259" s="448"/>
      <c r="F259" s="448"/>
    </row>
    <row r="260" ht="15.75" customHeight="1">
      <c r="B260" s="448"/>
      <c r="C260" s="448"/>
      <c r="D260" s="448"/>
      <c r="E260" s="448"/>
      <c r="F260" s="448"/>
    </row>
    <row r="261" ht="15.75" customHeight="1">
      <c r="B261" s="448"/>
      <c r="C261" s="448"/>
      <c r="D261" s="448"/>
      <c r="E261" s="448"/>
      <c r="F261" s="448"/>
    </row>
    <row r="262" ht="15.75" customHeight="1">
      <c r="B262" s="448"/>
      <c r="C262" s="448"/>
      <c r="D262" s="448"/>
      <c r="E262" s="448"/>
      <c r="F262" s="448"/>
    </row>
    <row r="263" ht="15.75" customHeight="1">
      <c r="B263" s="448"/>
      <c r="C263" s="448"/>
      <c r="D263" s="448"/>
      <c r="E263" s="448"/>
      <c r="F263" s="448"/>
    </row>
    <row r="264" ht="15.75" customHeight="1">
      <c r="B264" s="448"/>
      <c r="C264" s="448"/>
      <c r="D264" s="448"/>
      <c r="E264" s="448"/>
      <c r="F264" s="448"/>
    </row>
    <row r="265" ht="15.75" customHeight="1">
      <c r="B265" s="448"/>
      <c r="C265" s="448"/>
      <c r="D265" s="448"/>
      <c r="E265" s="448"/>
      <c r="F265" s="448"/>
    </row>
    <row r="266" ht="15.75" customHeight="1">
      <c r="B266" s="448"/>
      <c r="C266" s="448"/>
      <c r="D266" s="448"/>
      <c r="E266" s="448"/>
      <c r="F266" s="448"/>
    </row>
    <row r="267" ht="15.75" customHeight="1">
      <c r="B267" s="448"/>
      <c r="C267" s="448"/>
      <c r="D267" s="448"/>
      <c r="E267" s="448"/>
      <c r="F267" s="448"/>
    </row>
    <row r="268" ht="15.75" customHeight="1">
      <c r="B268" s="448"/>
      <c r="C268" s="448"/>
      <c r="D268" s="448"/>
      <c r="E268" s="448"/>
      <c r="F268" s="448"/>
    </row>
    <row r="269" ht="15.75" customHeight="1">
      <c r="B269" s="448"/>
      <c r="C269" s="448"/>
      <c r="D269" s="448"/>
      <c r="E269" s="448"/>
      <c r="F269" s="448"/>
    </row>
    <row r="270" ht="15.75" customHeight="1">
      <c r="B270" s="448"/>
      <c r="C270" s="448"/>
      <c r="D270" s="448"/>
      <c r="E270" s="448"/>
      <c r="F270" s="448"/>
    </row>
    <row r="271" ht="15.75" customHeight="1">
      <c r="B271" s="448"/>
      <c r="C271" s="448"/>
      <c r="D271" s="448"/>
      <c r="E271" s="448"/>
      <c r="F271" s="448"/>
    </row>
    <row r="272" ht="15.75" customHeight="1">
      <c r="B272" s="448"/>
      <c r="C272" s="448"/>
      <c r="D272" s="448"/>
      <c r="E272" s="448"/>
      <c r="F272" s="448"/>
    </row>
    <row r="273" ht="15.75" customHeight="1">
      <c r="B273" s="448"/>
      <c r="C273" s="448"/>
      <c r="D273" s="448"/>
      <c r="E273" s="448"/>
      <c r="F273" s="448"/>
    </row>
    <row r="274" ht="15.75" customHeight="1">
      <c r="B274" s="448"/>
      <c r="C274" s="448"/>
      <c r="D274" s="448"/>
      <c r="E274" s="448"/>
      <c r="F274" s="448"/>
    </row>
    <row r="275" ht="15.75" customHeight="1">
      <c r="B275" s="448"/>
      <c r="C275" s="448"/>
      <c r="D275" s="448"/>
      <c r="E275" s="448"/>
      <c r="F275" s="448"/>
    </row>
    <row r="276" ht="15.75" customHeight="1">
      <c r="B276" s="448"/>
      <c r="C276" s="448"/>
      <c r="D276" s="448"/>
      <c r="E276" s="448"/>
      <c r="F276" s="448"/>
    </row>
    <row r="277" ht="15.75" customHeight="1">
      <c r="B277" s="448"/>
      <c r="C277" s="448"/>
      <c r="D277" s="448"/>
      <c r="E277" s="448"/>
      <c r="F277" s="448"/>
    </row>
    <row r="278" ht="15.75" customHeight="1">
      <c r="B278" s="448"/>
      <c r="C278" s="448"/>
      <c r="D278" s="448"/>
      <c r="E278" s="448"/>
      <c r="F278" s="448"/>
    </row>
    <row r="279" ht="15.75" customHeight="1">
      <c r="B279" s="448"/>
      <c r="C279" s="448"/>
      <c r="D279" s="448"/>
      <c r="E279" s="448"/>
      <c r="F279" s="448"/>
    </row>
    <row r="280" ht="15.75" customHeight="1">
      <c r="B280" s="448"/>
      <c r="C280" s="448"/>
      <c r="D280" s="448"/>
      <c r="E280" s="448"/>
      <c r="F280" s="448"/>
    </row>
    <row r="281" ht="15.75" customHeight="1">
      <c r="B281" s="448"/>
      <c r="C281" s="448"/>
      <c r="D281" s="448"/>
      <c r="E281" s="448"/>
      <c r="F281" s="448"/>
    </row>
    <row r="282" ht="15.75" customHeight="1">
      <c r="B282" s="448"/>
      <c r="C282" s="448"/>
      <c r="D282" s="448"/>
      <c r="E282" s="448"/>
      <c r="F282" s="448"/>
    </row>
    <row r="283" ht="15.75" customHeight="1">
      <c r="B283" s="448"/>
      <c r="C283" s="448"/>
      <c r="D283" s="448"/>
      <c r="E283" s="448"/>
      <c r="F283" s="448"/>
    </row>
    <row r="284" ht="15.75" customHeight="1">
      <c r="B284" s="448"/>
      <c r="C284" s="448"/>
      <c r="D284" s="448"/>
      <c r="E284" s="448"/>
      <c r="F284" s="448"/>
    </row>
    <row r="285" ht="15.75" customHeight="1">
      <c r="B285" s="448"/>
      <c r="C285" s="448"/>
      <c r="D285" s="448"/>
      <c r="E285" s="448"/>
      <c r="F285" s="448"/>
    </row>
    <row r="286" ht="15.75" customHeight="1">
      <c r="B286" s="448"/>
      <c r="C286" s="448"/>
      <c r="D286" s="448"/>
      <c r="E286" s="448"/>
      <c r="F286" s="448"/>
    </row>
    <row r="287" ht="15.75" customHeight="1">
      <c r="B287" s="448"/>
      <c r="C287" s="448"/>
      <c r="D287" s="448"/>
      <c r="E287" s="448"/>
      <c r="F287" s="448"/>
    </row>
    <row r="288" ht="15.75" customHeight="1">
      <c r="B288" s="448"/>
      <c r="C288" s="448"/>
      <c r="D288" s="448"/>
      <c r="E288" s="448"/>
      <c r="F288" s="448"/>
    </row>
    <row r="289" ht="15.75" customHeight="1">
      <c r="B289" s="448"/>
      <c r="C289" s="448"/>
      <c r="D289" s="448"/>
      <c r="E289" s="448"/>
      <c r="F289" s="448"/>
    </row>
    <row r="290" ht="15.75" customHeight="1">
      <c r="B290" s="448"/>
      <c r="C290" s="448"/>
      <c r="D290" s="448"/>
      <c r="E290" s="448"/>
      <c r="F290" s="448"/>
    </row>
    <row r="291" ht="15.75" customHeight="1">
      <c r="B291" s="448"/>
      <c r="C291" s="448"/>
      <c r="D291" s="448"/>
      <c r="E291" s="448"/>
      <c r="F291" s="448"/>
    </row>
    <row r="292" ht="15.75" customHeight="1">
      <c r="B292" s="448"/>
      <c r="C292" s="448"/>
      <c r="D292" s="448"/>
      <c r="E292" s="448"/>
      <c r="F292" s="448"/>
    </row>
    <row r="293" ht="15.75" customHeight="1">
      <c r="B293" s="448"/>
      <c r="C293" s="448"/>
      <c r="D293" s="448"/>
      <c r="E293" s="448"/>
      <c r="F293" s="448"/>
    </row>
    <row r="294" ht="15.75" customHeight="1">
      <c r="B294" s="448"/>
      <c r="C294" s="448"/>
      <c r="D294" s="448"/>
      <c r="E294" s="448"/>
      <c r="F294" s="448"/>
    </row>
    <row r="295" ht="15.75" customHeight="1">
      <c r="B295" s="448"/>
      <c r="C295" s="448"/>
      <c r="D295" s="448"/>
      <c r="E295" s="448"/>
      <c r="F295" s="448"/>
    </row>
    <row r="296" ht="15.75" customHeight="1">
      <c r="B296" s="448"/>
      <c r="C296" s="448"/>
      <c r="D296" s="448"/>
      <c r="E296" s="448"/>
      <c r="F296" s="448"/>
    </row>
    <row r="297" ht="15.75" customHeight="1">
      <c r="B297" s="448"/>
      <c r="C297" s="448"/>
      <c r="D297" s="448"/>
      <c r="E297" s="448"/>
      <c r="F297" s="448"/>
    </row>
    <row r="298" ht="15.75" customHeight="1">
      <c r="B298" s="448"/>
      <c r="C298" s="448"/>
      <c r="D298" s="448"/>
      <c r="E298" s="448"/>
      <c r="F298" s="448"/>
    </row>
    <row r="299" ht="15.75" customHeight="1">
      <c r="B299" s="448"/>
      <c r="C299" s="448"/>
      <c r="D299" s="448"/>
      <c r="E299" s="448"/>
      <c r="F299" s="448"/>
    </row>
    <row r="300" ht="15.75" customHeight="1">
      <c r="B300" s="448"/>
      <c r="C300" s="448"/>
      <c r="D300" s="448"/>
      <c r="E300" s="448"/>
      <c r="F300" s="448"/>
    </row>
    <row r="301" ht="15.75" customHeight="1">
      <c r="B301" s="448"/>
      <c r="C301" s="448"/>
      <c r="D301" s="448"/>
      <c r="E301" s="448"/>
      <c r="F301" s="448"/>
    </row>
    <row r="302" ht="15.75" customHeight="1">
      <c r="B302" s="448"/>
      <c r="C302" s="448"/>
      <c r="D302" s="448"/>
      <c r="E302" s="448"/>
      <c r="F302" s="448"/>
    </row>
    <row r="303" ht="15.75" customHeight="1">
      <c r="B303" s="448"/>
      <c r="C303" s="448"/>
      <c r="D303" s="448"/>
      <c r="E303" s="448"/>
      <c r="F303" s="448"/>
    </row>
    <row r="304" ht="15.75" customHeight="1">
      <c r="B304" s="448"/>
      <c r="C304" s="448"/>
      <c r="D304" s="448"/>
      <c r="E304" s="448"/>
      <c r="F304" s="448"/>
    </row>
    <row r="305" ht="15.75" customHeight="1">
      <c r="B305" s="448"/>
      <c r="C305" s="448"/>
      <c r="D305" s="448"/>
      <c r="E305" s="448"/>
      <c r="F305" s="448"/>
    </row>
    <row r="306" ht="15.75" customHeight="1">
      <c r="B306" s="448"/>
      <c r="C306" s="448"/>
      <c r="D306" s="448"/>
      <c r="E306" s="448"/>
      <c r="F306" s="448"/>
    </row>
    <row r="307" ht="15.75" customHeight="1">
      <c r="B307" s="448"/>
      <c r="C307" s="448"/>
      <c r="D307" s="448"/>
      <c r="E307" s="448"/>
      <c r="F307" s="448"/>
    </row>
    <row r="308" ht="15.75" customHeight="1">
      <c r="B308" s="448"/>
      <c r="C308" s="448"/>
      <c r="D308" s="448"/>
      <c r="E308" s="448"/>
      <c r="F308" s="448"/>
    </row>
    <row r="309" ht="15.75" customHeight="1">
      <c r="B309" s="448"/>
      <c r="C309" s="448"/>
      <c r="D309" s="448"/>
      <c r="E309" s="448"/>
      <c r="F309" s="448"/>
    </row>
    <row r="310" ht="15.75" customHeight="1">
      <c r="B310" s="448"/>
      <c r="C310" s="448"/>
      <c r="D310" s="448"/>
      <c r="E310" s="448"/>
      <c r="F310" s="448"/>
    </row>
    <row r="311" ht="15.75" customHeight="1">
      <c r="B311" s="448"/>
      <c r="C311" s="448"/>
      <c r="D311" s="448"/>
      <c r="E311" s="448"/>
      <c r="F311" s="448"/>
    </row>
    <row r="312" ht="15.75" customHeight="1">
      <c r="B312" s="448"/>
      <c r="C312" s="448"/>
      <c r="D312" s="448"/>
      <c r="E312" s="448"/>
      <c r="F312" s="448"/>
    </row>
    <row r="313" ht="15.75" customHeight="1">
      <c r="B313" s="448"/>
      <c r="C313" s="448"/>
      <c r="D313" s="448"/>
      <c r="E313" s="448"/>
      <c r="F313" s="448"/>
    </row>
    <row r="314" ht="15.75" customHeight="1">
      <c r="B314" s="448"/>
      <c r="C314" s="448"/>
      <c r="D314" s="448"/>
      <c r="E314" s="448"/>
      <c r="F314" s="448"/>
    </row>
    <row r="315" ht="15.75" customHeight="1">
      <c r="B315" s="448"/>
      <c r="C315" s="448"/>
      <c r="D315" s="448"/>
      <c r="E315" s="448"/>
      <c r="F315" s="448"/>
    </row>
    <row r="316" ht="15.75" customHeight="1">
      <c r="B316" s="448"/>
      <c r="C316" s="448"/>
      <c r="D316" s="448"/>
      <c r="E316" s="448"/>
      <c r="F316" s="448"/>
    </row>
    <row r="317" ht="15.75" customHeight="1">
      <c r="B317" s="448"/>
      <c r="C317" s="448"/>
      <c r="D317" s="448"/>
      <c r="E317" s="448"/>
      <c r="F317" s="448"/>
    </row>
    <row r="318" ht="15.75" customHeight="1">
      <c r="B318" s="448"/>
      <c r="C318" s="448"/>
      <c r="D318" s="448"/>
      <c r="E318" s="448"/>
      <c r="F318" s="448"/>
    </row>
    <row r="319" ht="15.75" customHeight="1">
      <c r="B319" s="448"/>
      <c r="C319" s="448"/>
      <c r="D319" s="448"/>
      <c r="E319" s="448"/>
      <c r="F319" s="448"/>
    </row>
    <row r="320" ht="15.75" customHeight="1">
      <c r="B320" s="448"/>
      <c r="C320" s="448"/>
      <c r="D320" s="448"/>
      <c r="E320" s="448"/>
      <c r="F320" s="448"/>
    </row>
    <row r="321" ht="15.75" customHeight="1">
      <c r="B321" s="448"/>
      <c r="C321" s="448"/>
      <c r="D321" s="448"/>
      <c r="E321" s="448"/>
      <c r="F321" s="448"/>
    </row>
    <row r="322" ht="15.75" customHeight="1">
      <c r="B322" s="448"/>
      <c r="C322" s="448"/>
      <c r="D322" s="448"/>
      <c r="E322" s="448"/>
      <c r="F322" s="448"/>
    </row>
    <row r="323" ht="15.75" customHeight="1">
      <c r="B323" s="448"/>
      <c r="C323" s="448"/>
      <c r="D323" s="448"/>
      <c r="E323" s="448"/>
      <c r="F323" s="448"/>
    </row>
    <row r="324" ht="15.75" customHeight="1">
      <c r="B324" s="448"/>
      <c r="C324" s="448"/>
      <c r="D324" s="448"/>
      <c r="E324" s="448"/>
      <c r="F324" s="448"/>
    </row>
    <row r="325" ht="15.75" customHeight="1">
      <c r="B325" s="448"/>
      <c r="C325" s="448"/>
      <c r="D325" s="448"/>
      <c r="E325" s="448"/>
      <c r="F325" s="448"/>
    </row>
    <row r="326" ht="15.75" customHeight="1">
      <c r="B326" s="448"/>
      <c r="C326" s="448"/>
      <c r="D326" s="448"/>
      <c r="E326" s="448"/>
      <c r="F326" s="448"/>
    </row>
    <row r="327" ht="15.75" customHeight="1">
      <c r="B327" s="448"/>
      <c r="C327" s="448"/>
      <c r="D327" s="448"/>
      <c r="E327" s="448"/>
      <c r="F327" s="448"/>
    </row>
    <row r="328" ht="15.75" customHeight="1">
      <c r="B328" s="448"/>
      <c r="C328" s="448"/>
      <c r="D328" s="448"/>
      <c r="E328" s="448"/>
      <c r="F328" s="448"/>
    </row>
    <row r="329" ht="15.75" customHeight="1">
      <c r="B329" s="448"/>
      <c r="C329" s="448"/>
      <c r="D329" s="448"/>
      <c r="E329" s="448"/>
      <c r="F329" s="448"/>
    </row>
    <row r="330" ht="15.75" customHeight="1">
      <c r="B330" s="448"/>
      <c r="C330" s="448"/>
      <c r="D330" s="448"/>
      <c r="E330" s="448"/>
      <c r="F330" s="448"/>
    </row>
    <row r="331" ht="15.75" customHeight="1">
      <c r="B331" s="448"/>
      <c r="C331" s="448"/>
      <c r="D331" s="448"/>
      <c r="E331" s="448"/>
      <c r="F331" s="448"/>
    </row>
    <row r="332" ht="15.75" customHeight="1">
      <c r="B332" s="448"/>
      <c r="C332" s="448"/>
      <c r="D332" s="448"/>
      <c r="E332" s="448"/>
      <c r="F332" s="448"/>
    </row>
    <row r="333" ht="15.75" customHeight="1">
      <c r="B333" s="448"/>
      <c r="C333" s="448"/>
      <c r="D333" s="448"/>
      <c r="E333" s="448"/>
      <c r="F333" s="448"/>
    </row>
    <row r="334" ht="15.75" customHeight="1">
      <c r="B334" s="448"/>
      <c r="C334" s="448"/>
      <c r="D334" s="448"/>
      <c r="E334" s="448"/>
      <c r="F334" s="448"/>
    </row>
    <row r="335" ht="15.75" customHeight="1">
      <c r="B335" s="448"/>
      <c r="C335" s="448"/>
      <c r="D335" s="448"/>
      <c r="E335" s="448"/>
      <c r="F335" s="448"/>
    </row>
    <row r="336" ht="15.75" customHeight="1">
      <c r="B336" s="448"/>
      <c r="C336" s="448"/>
      <c r="D336" s="448"/>
      <c r="E336" s="448"/>
      <c r="F336" s="448"/>
    </row>
    <row r="337" ht="15.75" customHeight="1">
      <c r="B337" s="448"/>
      <c r="C337" s="448"/>
      <c r="D337" s="448"/>
      <c r="E337" s="448"/>
      <c r="F337" s="448"/>
    </row>
    <row r="338" ht="15.75" customHeight="1">
      <c r="B338" s="448"/>
      <c r="C338" s="448"/>
      <c r="D338" s="448"/>
      <c r="E338" s="448"/>
      <c r="F338" s="448"/>
    </row>
    <row r="339" ht="15.75" customHeight="1">
      <c r="B339" s="448"/>
      <c r="C339" s="448"/>
      <c r="D339" s="448"/>
      <c r="E339" s="448"/>
      <c r="F339" s="448"/>
    </row>
    <row r="340" ht="15.75" customHeight="1">
      <c r="B340" s="448"/>
      <c r="C340" s="448"/>
      <c r="D340" s="448"/>
      <c r="E340" s="448"/>
      <c r="F340" s="448"/>
    </row>
    <row r="341" ht="15.75" customHeight="1">
      <c r="B341" s="448"/>
      <c r="C341" s="448"/>
      <c r="D341" s="448"/>
      <c r="E341" s="448"/>
      <c r="F341" s="448"/>
    </row>
    <row r="342" ht="15.75" customHeight="1">
      <c r="B342" s="448"/>
      <c r="C342" s="448"/>
      <c r="D342" s="448"/>
      <c r="E342" s="448"/>
      <c r="F342" s="448"/>
    </row>
    <row r="343" ht="15.75" customHeight="1">
      <c r="B343" s="448"/>
      <c r="C343" s="448"/>
      <c r="D343" s="448"/>
      <c r="E343" s="448"/>
      <c r="F343" s="448"/>
    </row>
    <row r="344" ht="15.75" customHeight="1">
      <c r="B344" s="448"/>
      <c r="C344" s="448"/>
      <c r="D344" s="448"/>
      <c r="E344" s="448"/>
      <c r="F344" s="448"/>
    </row>
    <row r="345" ht="15.75" customHeight="1">
      <c r="B345" s="448"/>
      <c r="C345" s="448"/>
      <c r="D345" s="448"/>
      <c r="E345" s="448"/>
      <c r="F345" s="448"/>
    </row>
    <row r="346" ht="15.75" customHeight="1">
      <c r="B346" s="448"/>
      <c r="C346" s="448"/>
      <c r="D346" s="448"/>
      <c r="E346" s="448"/>
      <c r="F346" s="448"/>
    </row>
    <row r="347" ht="15.75" customHeight="1">
      <c r="B347" s="448"/>
      <c r="C347" s="448"/>
      <c r="D347" s="448"/>
      <c r="E347" s="448"/>
      <c r="F347" s="448"/>
    </row>
    <row r="348" ht="15.75" customHeight="1">
      <c r="B348" s="448"/>
      <c r="C348" s="448"/>
      <c r="D348" s="448"/>
      <c r="E348" s="448"/>
      <c r="F348" s="448"/>
    </row>
    <row r="349" ht="15.75" customHeight="1">
      <c r="B349" s="448"/>
      <c r="C349" s="448"/>
      <c r="D349" s="448"/>
      <c r="E349" s="448"/>
      <c r="F349" s="448"/>
    </row>
    <row r="350" ht="15.75" customHeight="1">
      <c r="B350" s="448"/>
      <c r="C350" s="448"/>
      <c r="D350" s="448"/>
      <c r="E350" s="448"/>
      <c r="F350" s="448"/>
    </row>
    <row r="351" ht="15.75" customHeight="1">
      <c r="B351" s="448"/>
      <c r="C351" s="448"/>
      <c r="D351" s="448"/>
      <c r="E351" s="448"/>
      <c r="F351" s="448"/>
    </row>
    <row r="352" ht="15.75" customHeight="1">
      <c r="B352" s="448"/>
      <c r="C352" s="448"/>
      <c r="D352" s="448"/>
      <c r="E352" s="448"/>
      <c r="F352" s="448"/>
    </row>
    <row r="353" ht="15.75" customHeight="1">
      <c r="B353" s="448"/>
      <c r="C353" s="448"/>
      <c r="D353" s="448"/>
      <c r="E353" s="448"/>
      <c r="F353" s="448"/>
    </row>
    <row r="354" ht="15.75" customHeight="1">
      <c r="B354" s="448"/>
      <c r="C354" s="448"/>
      <c r="D354" s="448"/>
      <c r="E354" s="448"/>
      <c r="F354" s="448"/>
    </row>
    <row r="355" ht="15.75" customHeight="1">
      <c r="B355" s="448"/>
      <c r="C355" s="448"/>
      <c r="D355" s="448"/>
      <c r="E355" s="448"/>
      <c r="F355" s="448"/>
    </row>
    <row r="356" ht="15.75" customHeight="1">
      <c r="B356" s="448"/>
      <c r="C356" s="448"/>
      <c r="D356" s="448"/>
      <c r="E356" s="448"/>
      <c r="F356" s="448"/>
    </row>
    <row r="357" ht="15.75" customHeight="1">
      <c r="B357" s="448"/>
      <c r="C357" s="448"/>
      <c r="D357" s="448"/>
      <c r="E357" s="448"/>
      <c r="F357" s="448"/>
    </row>
    <row r="358" ht="15.75" customHeight="1">
      <c r="B358" s="448"/>
      <c r="C358" s="448"/>
      <c r="D358" s="448"/>
      <c r="E358" s="448"/>
      <c r="F358" s="448"/>
    </row>
    <row r="359" ht="15.75" customHeight="1">
      <c r="B359" s="448"/>
      <c r="C359" s="448"/>
      <c r="D359" s="448"/>
      <c r="E359" s="448"/>
      <c r="F359" s="448"/>
    </row>
    <row r="360" ht="15.75" customHeight="1">
      <c r="B360" s="448"/>
      <c r="C360" s="448"/>
      <c r="D360" s="448"/>
      <c r="E360" s="448"/>
      <c r="F360" s="448"/>
    </row>
    <row r="361" ht="15.75" customHeight="1">
      <c r="B361" s="448"/>
      <c r="C361" s="448"/>
      <c r="D361" s="448"/>
      <c r="E361" s="448"/>
      <c r="F361" s="448"/>
    </row>
    <row r="362" ht="15.75" customHeight="1">
      <c r="B362" s="448"/>
      <c r="C362" s="448"/>
      <c r="D362" s="448"/>
      <c r="E362" s="448"/>
      <c r="F362" s="448"/>
    </row>
    <row r="363" ht="15.75" customHeight="1">
      <c r="B363" s="448"/>
      <c r="C363" s="448"/>
      <c r="D363" s="448"/>
      <c r="E363" s="448"/>
      <c r="F363" s="448"/>
    </row>
    <row r="364" ht="15.75" customHeight="1">
      <c r="B364" s="448"/>
      <c r="C364" s="448"/>
      <c r="D364" s="448"/>
      <c r="E364" s="448"/>
      <c r="F364" s="448"/>
    </row>
    <row r="365" ht="15.75" customHeight="1">
      <c r="B365" s="448"/>
      <c r="C365" s="448"/>
      <c r="D365" s="448"/>
      <c r="E365" s="448"/>
      <c r="F365" s="448"/>
    </row>
    <row r="366" ht="15.75" customHeight="1">
      <c r="B366" s="448"/>
      <c r="C366" s="448"/>
      <c r="D366" s="448"/>
      <c r="E366" s="448"/>
      <c r="F366" s="448"/>
    </row>
    <row r="367" ht="15.75" customHeight="1">
      <c r="B367" s="448"/>
      <c r="C367" s="448"/>
      <c r="D367" s="448"/>
      <c r="E367" s="448"/>
      <c r="F367" s="448"/>
    </row>
    <row r="368" ht="15.75" customHeight="1">
      <c r="B368" s="448"/>
      <c r="C368" s="448"/>
      <c r="D368" s="448"/>
      <c r="E368" s="448"/>
      <c r="F368" s="448"/>
    </row>
    <row r="369" ht="15.75" customHeight="1">
      <c r="B369" s="448"/>
      <c r="C369" s="448"/>
      <c r="D369" s="448"/>
      <c r="E369" s="448"/>
      <c r="F369" s="448"/>
    </row>
    <row r="370" ht="15.75" customHeight="1">
      <c r="B370" s="448"/>
      <c r="C370" s="448"/>
      <c r="D370" s="448"/>
      <c r="E370" s="448"/>
      <c r="F370" s="448"/>
    </row>
    <row r="371" ht="15.75" customHeight="1">
      <c r="B371" s="448"/>
      <c r="C371" s="448"/>
      <c r="D371" s="448"/>
      <c r="E371" s="448"/>
      <c r="F371" s="448"/>
    </row>
    <row r="372" ht="15.75" customHeight="1">
      <c r="B372" s="448"/>
      <c r="C372" s="448"/>
      <c r="D372" s="448"/>
      <c r="E372" s="448"/>
      <c r="F372" s="448"/>
    </row>
    <row r="373" ht="15.75" customHeight="1">
      <c r="B373" s="448"/>
      <c r="C373" s="448"/>
      <c r="D373" s="448"/>
      <c r="E373" s="448"/>
      <c r="F373" s="448"/>
    </row>
    <row r="374" ht="15.75" customHeight="1">
      <c r="B374" s="448"/>
      <c r="C374" s="448"/>
      <c r="D374" s="448"/>
      <c r="E374" s="448"/>
      <c r="F374" s="448"/>
    </row>
    <row r="375" ht="15.75" customHeight="1">
      <c r="B375" s="448"/>
      <c r="C375" s="448"/>
      <c r="D375" s="448"/>
      <c r="E375" s="448"/>
      <c r="F375" s="448"/>
    </row>
    <row r="376" ht="15.75" customHeight="1">
      <c r="B376" s="448"/>
      <c r="C376" s="448"/>
      <c r="D376" s="448"/>
      <c r="E376" s="448"/>
      <c r="F376" s="448"/>
    </row>
    <row r="377" ht="15.75" customHeight="1">
      <c r="B377" s="448"/>
      <c r="C377" s="448"/>
      <c r="D377" s="448"/>
      <c r="E377" s="448"/>
      <c r="F377" s="448"/>
    </row>
    <row r="378" ht="15.75" customHeight="1">
      <c r="B378" s="448"/>
      <c r="C378" s="448"/>
      <c r="D378" s="448"/>
      <c r="E378" s="448"/>
      <c r="F378" s="448"/>
    </row>
    <row r="379" ht="15.75" customHeight="1">
      <c r="B379" s="448"/>
      <c r="C379" s="448"/>
      <c r="D379" s="448"/>
      <c r="E379" s="448"/>
      <c r="F379" s="448"/>
    </row>
    <row r="380" ht="15.75" customHeight="1">
      <c r="B380" s="448"/>
      <c r="C380" s="448"/>
      <c r="D380" s="448"/>
      <c r="E380" s="448"/>
      <c r="F380" s="448"/>
    </row>
    <row r="381" ht="15.75" customHeight="1">
      <c r="B381" s="448"/>
      <c r="C381" s="448"/>
      <c r="D381" s="448"/>
      <c r="E381" s="448"/>
      <c r="F381" s="448"/>
    </row>
    <row r="382" ht="15.75" customHeight="1">
      <c r="B382" s="448"/>
      <c r="C382" s="448"/>
      <c r="D382" s="448"/>
      <c r="E382" s="448"/>
      <c r="F382" s="448"/>
    </row>
    <row r="383" ht="15.75" customHeight="1">
      <c r="B383" s="448"/>
      <c r="C383" s="448"/>
      <c r="D383" s="448"/>
      <c r="E383" s="448"/>
      <c r="F383" s="448"/>
    </row>
    <row r="384" ht="15.75" customHeight="1">
      <c r="B384" s="448"/>
      <c r="C384" s="448"/>
      <c r="D384" s="448"/>
      <c r="E384" s="448"/>
      <c r="F384" s="448"/>
    </row>
    <row r="385" ht="15.75" customHeight="1">
      <c r="B385" s="448"/>
      <c r="C385" s="448"/>
      <c r="D385" s="448"/>
      <c r="E385" s="448"/>
      <c r="F385" s="448"/>
    </row>
    <row r="386" ht="15.75" customHeight="1">
      <c r="B386" s="448"/>
      <c r="C386" s="448"/>
      <c r="D386" s="448"/>
      <c r="E386" s="448"/>
      <c r="F386" s="448"/>
    </row>
    <row r="387" ht="15.75" customHeight="1">
      <c r="B387" s="448"/>
      <c r="C387" s="448"/>
      <c r="D387" s="448"/>
      <c r="E387" s="448"/>
      <c r="F387" s="448"/>
    </row>
    <row r="388" ht="15.75" customHeight="1">
      <c r="B388" s="448"/>
      <c r="C388" s="448"/>
      <c r="D388" s="448"/>
      <c r="E388" s="448"/>
      <c r="F388" s="448"/>
    </row>
    <row r="389" ht="15.75" customHeight="1">
      <c r="B389" s="448"/>
      <c r="C389" s="448"/>
      <c r="D389" s="448"/>
      <c r="E389" s="448"/>
      <c r="F389" s="448"/>
    </row>
    <row r="390" ht="15.75" customHeight="1">
      <c r="B390" s="448"/>
      <c r="C390" s="448"/>
      <c r="D390" s="448"/>
      <c r="E390" s="448"/>
      <c r="F390" s="448"/>
    </row>
    <row r="391" ht="15.75" customHeight="1">
      <c r="B391" s="448"/>
      <c r="C391" s="448"/>
      <c r="D391" s="448"/>
      <c r="E391" s="448"/>
      <c r="F391" s="448"/>
    </row>
    <row r="392" ht="15.75" customHeight="1">
      <c r="B392" s="448"/>
      <c r="C392" s="448"/>
      <c r="D392" s="448"/>
      <c r="E392" s="448"/>
      <c r="F392" s="448"/>
    </row>
    <row r="393" ht="15.75" customHeight="1">
      <c r="B393" s="448"/>
      <c r="C393" s="448"/>
      <c r="D393" s="448"/>
      <c r="E393" s="448"/>
      <c r="F393" s="448"/>
    </row>
    <row r="394" ht="15.75" customHeight="1">
      <c r="B394" s="448"/>
      <c r="C394" s="448"/>
      <c r="D394" s="448"/>
      <c r="E394" s="448"/>
      <c r="F394" s="448"/>
    </row>
    <row r="395" ht="15.75" customHeight="1">
      <c r="B395" s="448"/>
      <c r="C395" s="448"/>
      <c r="D395" s="448"/>
      <c r="E395" s="448"/>
      <c r="F395" s="448"/>
    </row>
    <row r="396" ht="15.75" customHeight="1">
      <c r="B396" s="448"/>
      <c r="C396" s="448"/>
      <c r="D396" s="448"/>
      <c r="E396" s="448"/>
      <c r="F396" s="448"/>
    </row>
    <row r="397" ht="15.75" customHeight="1">
      <c r="B397" s="448"/>
      <c r="C397" s="448"/>
      <c r="D397" s="448"/>
      <c r="E397" s="448"/>
      <c r="F397" s="448"/>
    </row>
    <row r="398" ht="15.75" customHeight="1">
      <c r="B398" s="448"/>
      <c r="C398" s="448"/>
      <c r="D398" s="448"/>
      <c r="E398" s="448"/>
      <c r="F398" s="448"/>
    </row>
    <row r="399" ht="15.75" customHeight="1">
      <c r="B399" s="448"/>
      <c r="C399" s="448"/>
      <c r="D399" s="448"/>
      <c r="E399" s="448"/>
      <c r="F399" s="448"/>
    </row>
    <row r="400" ht="15.75" customHeight="1">
      <c r="B400" s="448"/>
      <c r="C400" s="448"/>
      <c r="D400" s="448"/>
      <c r="E400" s="448"/>
      <c r="F400" s="448"/>
    </row>
    <row r="401" ht="15.75" customHeight="1">
      <c r="B401" s="448"/>
      <c r="C401" s="448"/>
      <c r="D401" s="448"/>
      <c r="E401" s="448"/>
      <c r="F401" s="448"/>
    </row>
    <row r="402" ht="15.75" customHeight="1">
      <c r="B402" s="448"/>
      <c r="C402" s="448"/>
      <c r="D402" s="448"/>
      <c r="E402" s="448"/>
      <c r="F402" s="448"/>
    </row>
    <row r="403" ht="15.75" customHeight="1">
      <c r="B403" s="448"/>
      <c r="C403" s="448"/>
      <c r="D403" s="448"/>
      <c r="E403" s="448"/>
      <c r="F403" s="448"/>
    </row>
    <row r="404" ht="15.75" customHeight="1">
      <c r="B404" s="448"/>
      <c r="C404" s="448"/>
      <c r="D404" s="448"/>
      <c r="E404" s="448"/>
      <c r="F404" s="448"/>
    </row>
    <row r="405" ht="15.75" customHeight="1">
      <c r="B405" s="448"/>
      <c r="C405" s="448"/>
      <c r="D405" s="448"/>
      <c r="E405" s="448"/>
      <c r="F405" s="448"/>
    </row>
    <row r="406" ht="15.75" customHeight="1">
      <c r="B406" s="448"/>
      <c r="C406" s="448"/>
      <c r="D406" s="448"/>
      <c r="E406" s="448"/>
      <c r="F406" s="448"/>
    </row>
    <row r="407" ht="15.75" customHeight="1">
      <c r="B407" s="448"/>
      <c r="C407" s="448"/>
      <c r="D407" s="448"/>
      <c r="E407" s="448"/>
      <c r="F407" s="448"/>
    </row>
    <row r="408" ht="15.75" customHeight="1">
      <c r="B408" s="448"/>
      <c r="C408" s="448"/>
      <c r="D408" s="448"/>
      <c r="E408" s="448"/>
      <c r="F408" s="448"/>
    </row>
    <row r="409" ht="15.75" customHeight="1">
      <c r="B409" s="448"/>
      <c r="C409" s="448"/>
      <c r="D409" s="448"/>
      <c r="E409" s="448"/>
      <c r="F409" s="448"/>
    </row>
    <row r="410" ht="15.75" customHeight="1">
      <c r="B410" s="448"/>
      <c r="C410" s="448"/>
      <c r="D410" s="448"/>
      <c r="E410" s="448"/>
      <c r="F410" s="448"/>
    </row>
    <row r="411" ht="15.75" customHeight="1">
      <c r="B411" s="448"/>
      <c r="C411" s="448"/>
      <c r="D411" s="448"/>
      <c r="E411" s="448"/>
      <c r="F411" s="448"/>
    </row>
    <row r="412" ht="15.75" customHeight="1">
      <c r="B412" s="448"/>
      <c r="C412" s="448"/>
      <c r="D412" s="448"/>
      <c r="E412" s="448"/>
      <c r="F412" s="448"/>
    </row>
    <row r="413" ht="15.75" customHeight="1">
      <c r="B413" s="448"/>
      <c r="C413" s="448"/>
      <c r="D413" s="448"/>
      <c r="E413" s="448"/>
      <c r="F413" s="448"/>
    </row>
    <row r="414" ht="15.75" customHeight="1">
      <c r="B414" s="448"/>
      <c r="C414" s="448"/>
      <c r="D414" s="448"/>
      <c r="E414" s="448"/>
      <c r="F414" s="448"/>
    </row>
    <row r="415" ht="15.75" customHeight="1">
      <c r="B415" s="448"/>
      <c r="C415" s="448"/>
      <c r="D415" s="448"/>
      <c r="E415" s="448"/>
      <c r="F415" s="448"/>
    </row>
    <row r="416" ht="15.75" customHeight="1">
      <c r="B416" s="448"/>
      <c r="C416" s="448"/>
      <c r="D416" s="448"/>
      <c r="E416" s="448"/>
      <c r="F416" s="448"/>
    </row>
    <row r="417" ht="15.75" customHeight="1">
      <c r="B417" s="448"/>
      <c r="C417" s="448"/>
      <c r="D417" s="448"/>
      <c r="E417" s="448"/>
      <c r="F417" s="448"/>
    </row>
    <row r="418" ht="15.75" customHeight="1">
      <c r="B418" s="448"/>
      <c r="C418" s="448"/>
      <c r="D418" s="448"/>
      <c r="E418" s="448"/>
      <c r="F418" s="448"/>
    </row>
    <row r="419" ht="15.75" customHeight="1">
      <c r="B419" s="448"/>
      <c r="C419" s="448"/>
      <c r="D419" s="448"/>
      <c r="E419" s="448"/>
      <c r="F419" s="448"/>
    </row>
    <row r="420" ht="15.75" customHeight="1">
      <c r="B420" s="448"/>
      <c r="C420" s="448"/>
      <c r="D420" s="448"/>
      <c r="E420" s="448"/>
      <c r="F420" s="448"/>
    </row>
    <row r="421" ht="15.75" customHeight="1">
      <c r="B421" s="448"/>
      <c r="C421" s="448"/>
      <c r="D421" s="448"/>
      <c r="E421" s="448"/>
      <c r="F421" s="448"/>
    </row>
    <row r="422" ht="15.75" customHeight="1">
      <c r="B422" s="448"/>
      <c r="C422" s="448"/>
      <c r="D422" s="448"/>
      <c r="E422" s="448"/>
      <c r="F422" s="448"/>
    </row>
    <row r="423" ht="15.75" customHeight="1">
      <c r="B423" s="448"/>
      <c r="C423" s="448"/>
      <c r="D423" s="448"/>
      <c r="E423" s="448"/>
      <c r="F423" s="448"/>
    </row>
    <row r="424" ht="15.75" customHeight="1">
      <c r="B424" s="448"/>
      <c r="C424" s="448"/>
      <c r="D424" s="448"/>
      <c r="E424" s="448"/>
      <c r="F424" s="448"/>
    </row>
    <row r="425" ht="15.75" customHeight="1">
      <c r="B425" s="448"/>
      <c r="C425" s="448"/>
      <c r="D425" s="448"/>
      <c r="E425" s="448"/>
      <c r="F425" s="448"/>
    </row>
    <row r="426" ht="15.75" customHeight="1">
      <c r="B426" s="448"/>
      <c r="C426" s="448"/>
      <c r="D426" s="448"/>
      <c r="E426" s="448"/>
      <c r="F426" s="448"/>
    </row>
    <row r="427" ht="15.75" customHeight="1">
      <c r="B427" s="448"/>
      <c r="C427" s="448"/>
      <c r="D427" s="448"/>
      <c r="E427" s="448"/>
      <c r="F427" s="448"/>
    </row>
    <row r="428" ht="15.75" customHeight="1">
      <c r="B428" s="448"/>
      <c r="C428" s="448"/>
      <c r="D428" s="448"/>
      <c r="E428" s="448"/>
      <c r="F428" s="448"/>
    </row>
    <row r="429" ht="15.75" customHeight="1">
      <c r="B429" s="448"/>
      <c r="C429" s="448"/>
      <c r="D429" s="448"/>
      <c r="E429" s="448"/>
      <c r="F429" s="448"/>
    </row>
    <row r="430" ht="15.75" customHeight="1">
      <c r="B430" s="448"/>
      <c r="C430" s="448"/>
      <c r="D430" s="448"/>
      <c r="E430" s="448"/>
      <c r="F430" s="448"/>
    </row>
    <row r="431" ht="15.75" customHeight="1">
      <c r="B431" s="448"/>
      <c r="C431" s="448"/>
      <c r="D431" s="448"/>
      <c r="E431" s="448"/>
      <c r="F431" s="448"/>
    </row>
    <row r="432" ht="15.75" customHeight="1">
      <c r="B432" s="448"/>
      <c r="C432" s="448"/>
      <c r="D432" s="448"/>
      <c r="E432" s="448"/>
      <c r="F432" s="448"/>
    </row>
    <row r="433" ht="15.75" customHeight="1">
      <c r="B433" s="448"/>
      <c r="C433" s="448"/>
      <c r="D433" s="448"/>
      <c r="E433" s="448"/>
      <c r="F433" s="448"/>
    </row>
    <row r="434" ht="15.75" customHeight="1">
      <c r="B434" s="448"/>
      <c r="C434" s="448"/>
      <c r="D434" s="448"/>
      <c r="E434" s="448"/>
      <c r="F434" s="448"/>
    </row>
    <row r="435" ht="15.75" customHeight="1">
      <c r="B435" s="448"/>
      <c r="C435" s="448"/>
      <c r="D435" s="448"/>
      <c r="E435" s="448"/>
      <c r="F435" s="448"/>
    </row>
    <row r="436" ht="15.75" customHeight="1">
      <c r="B436" s="448"/>
      <c r="C436" s="448"/>
      <c r="D436" s="448"/>
      <c r="E436" s="448"/>
      <c r="F436" s="448"/>
    </row>
    <row r="437" ht="15.75" customHeight="1">
      <c r="B437" s="448"/>
      <c r="C437" s="448"/>
      <c r="D437" s="448"/>
      <c r="E437" s="448"/>
      <c r="F437" s="448"/>
    </row>
    <row r="438" ht="15.75" customHeight="1">
      <c r="B438" s="448"/>
      <c r="C438" s="448"/>
      <c r="D438" s="448"/>
      <c r="E438" s="448"/>
      <c r="F438" s="448"/>
    </row>
    <row r="439" ht="15.75" customHeight="1">
      <c r="B439" s="448"/>
      <c r="C439" s="448"/>
      <c r="D439" s="448"/>
      <c r="E439" s="448"/>
      <c r="F439" s="448"/>
    </row>
    <row r="440" ht="15.75" customHeight="1">
      <c r="B440" s="448"/>
      <c r="C440" s="448"/>
      <c r="D440" s="448"/>
      <c r="E440" s="448"/>
      <c r="F440" s="448"/>
    </row>
    <row r="441" ht="15.75" customHeight="1">
      <c r="B441" s="448"/>
      <c r="C441" s="448"/>
      <c r="D441" s="448"/>
      <c r="E441" s="448"/>
      <c r="F441" s="448"/>
    </row>
    <row r="442" ht="15.75" customHeight="1">
      <c r="B442" s="448"/>
      <c r="C442" s="448"/>
      <c r="D442" s="448"/>
      <c r="E442" s="448"/>
      <c r="F442" s="448"/>
    </row>
    <row r="443" ht="15.75" customHeight="1">
      <c r="B443" s="448"/>
      <c r="C443" s="448"/>
      <c r="D443" s="448"/>
      <c r="E443" s="448"/>
      <c r="F443" s="448"/>
    </row>
    <row r="444" ht="15.75" customHeight="1">
      <c r="B444" s="448"/>
      <c r="C444" s="448"/>
      <c r="D444" s="448"/>
      <c r="E444" s="448"/>
      <c r="F444" s="448"/>
    </row>
    <row r="445" ht="15.75" customHeight="1">
      <c r="B445" s="448"/>
      <c r="C445" s="448"/>
      <c r="D445" s="448"/>
      <c r="E445" s="448"/>
      <c r="F445" s="448"/>
    </row>
    <row r="446" ht="15.75" customHeight="1">
      <c r="B446" s="448"/>
      <c r="C446" s="448"/>
      <c r="D446" s="448"/>
      <c r="E446" s="448"/>
      <c r="F446" s="448"/>
    </row>
    <row r="447" ht="15.75" customHeight="1">
      <c r="B447" s="448"/>
      <c r="C447" s="448"/>
      <c r="D447" s="448"/>
      <c r="E447" s="448"/>
      <c r="F447" s="448"/>
    </row>
    <row r="448" ht="15.75" customHeight="1">
      <c r="B448" s="448"/>
      <c r="C448" s="448"/>
      <c r="D448" s="448"/>
      <c r="E448" s="448"/>
      <c r="F448" s="448"/>
    </row>
    <row r="449" ht="15.75" customHeight="1">
      <c r="B449" s="448"/>
      <c r="C449" s="448"/>
      <c r="D449" s="448"/>
      <c r="E449" s="448"/>
      <c r="F449" s="448"/>
    </row>
    <row r="450" ht="15.75" customHeight="1">
      <c r="B450" s="448"/>
      <c r="C450" s="448"/>
      <c r="D450" s="448"/>
      <c r="E450" s="448"/>
      <c r="F450" s="448"/>
    </row>
    <row r="451" ht="15.75" customHeight="1">
      <c r="B451" s="448"/>
      <c r="C451" s="448"/>
      <c r="D451" s="448"/>
      <c r="E451" s="448"/>
      <c r="F451" s="448"/>
    </row>
    <row r="452" ht="15.75" customHeight="1">
      <c r="B452" s="448"/>
      <c r="C452" s="448"/>
      <c r="D452" s="448"/>
      <c r="E452" s="448"/>
      <c r="F452" s="448"/>
    </row>
    <row r="453" ht="15.75" customHeight="1">
      <c r="B453" s="448"/>
      <c r="C453" s="448"/>
      <c r="D453" s="448"/>
      <c r="E453" s="448"/>
      <c r="F453" s="448"/>
    </row>
    <row r="454" ht="15.75" customHeight="1">
      <c r="B454" s="448"/>
      <c r="C454" s="448"/>
      <c r="D454" s="448"/>
      <c r="E454" s="448"/>
      <c r="F454" s="448"/>
    </row>
    <row r="455" ht="15.75" customHeight="1">
      <c r="B455" s="448"/>
      <c r="C455" s="448"/>
      <c r="D455" s="448"/>
      <c r="E455" s="448"/>
      <c r="F455" s="448"/>
    </row>
    <row r="456" ht="15.75" customHeight="1">
      <c r="B456" s="448"/>
      <c r="C456" s="448"/>
      <c r="D456" s="448"/>
      <c r="E456" s="448"/>
      <c r="F456" s="448"/>
    </row>
    <row r="457" ht="15.75" customHeight="1">
      <c r="B457" s="448"/>
      <c r="C457" s="448"/>
      <c r="D457" s="448"/>
      <c r="E457" s="448"/>
      <c r="F457" s="448"/>
    </row>
    <row r="458" ht="15.75" customHeight="1">
      <c r="B458" s="448"/>
      <c r="C458" s="448"/>
      <c r="D458" s="448"/>
      <c r="E458" s="448"/>
      <c r="F458" s="448"/>
    </row>
    <row r="459" ht="15.75" customHeight="1">
      <c r="B459" s="448"/>
      <c r="C459" s="448"/>
      <c r="D459" s="448"/>
      <c r="E459" s="448"/>
      <c r="F459" s="448"/>
    </row>
    <row r="460" ht="15.75" customHeight="1">
      <c r="B460" s="448"/>
      <c r="C460" s="448"/>
      <c r="D460" s="448"/>
      <c r="E460" s="448"/>
      <c r="F460" s="448"/>
    </row>
    <row r="461" ht="15.75" customHeight="1">
      <c r="B461" s="448"/>
      <c r="C461" s="448"/>
      <c r="D461" s="448"/>
      <c r="E461" s="448"/>
      <c r="F461" s="448"/>
    </row>
    <row r="462" ht="15.75" customHeight="1">
      <c r="B462" s="448"/>
      <c r="C462" s="448"/>
      <c r="D462" s="448"/>
      <c r="E462" s="448"/>
      <c r="F462" s="448"/>
    </row>
    <row r="463" ht="15.75" customHeight="1">
      <c r="B463" s="448"/>
      <c r="C463" s="448"/>
      <c r="D463" s="448"/>
      <c r="E463" s="448"/>
      <c r="F463" s="448"/>
    </row>
    <row r="464" ht="15.75" customHeight="1">
      <c r="B464" s="448"/>
      <c r="C464" s="448"/>
      <c r="D464" s="448"/>
      <c r="E464" s="448"/>
      <c r="F464" s="448"/>
    </row>
    <row r="465" ht="15.75" customHeight="1">
      <c r="B465" s="448"/>
      <c r="C465" s="448"/>
      <c r="D465" s="448"/>
      <c r="E465" s="448"/>
      <c r="F465" s="448"/>
    </row>
    <row r="466" ht="15.75" customHeight="1">
      <c r="B466" s="448"/>
      <c r="C466" s="448"/>
      <c r="D466" s="448"/>
      <c r="E466" s="448"/>
      <c r="F466" s="448"/>
    </row>
    <row r="467" ht="15.75" customHeight="1">
      <c r="B467" s="448"/>
      <c r="C467" s="448"/>
      <c r="D467" s="448"/>
      <c r="E467" s="448"/>
      <c r="F467" s="448"/>
    </row>
    <row r="468" ht="15.75" customHeight="1">
      <c r="B468" s="448"/>
      <c r="C468" s="448"/>
      <c r="D468" s="448"/>
      <c r="E468" s="448"/>
      <c r="F468" s="448"/>
    </row>
    <row r="469" ht="15.75" customHeight="1">
      <c r="B469" s="448"/>
      <c r="C469" s="448"/>
      <c r="D469" s="448"/>
      <c r="E469" s="448"/>
      <c r="F469" s="448"/>
    </row>
    <row r="470" ht="15.75" customHeight="1">
      <c r="B470" s="448"/>
      <c r="C470" s="448"/>
      <c r="D470" s="448"/>
      <c r="E470" s="448"/>
      <c r="F470" s="448"/>
    </row>
    <row r="471" ht="15.75" customHeight="1">
      <c r="B471" s="448"/>
      <c r="C471" s="448"/>
      <c r="D471" s="448"/>
      <c r="E471" s="448"/>
      <c r="F471" s="448"/>
    </row>
    <row r="472" ht="15.75" customHeight="1">
      <c r="B472" s="448"/>
      <c r="C472" s="448"/>
      <c r="D472" s="448"/>
      <c r="E472" s="448"/>
      <c r="F472" s="448"/>
    </row>
    <row r="473" ht="15.75" customHeight="1">
      <c r="B473" s="448"/>
      <c r="C473" s="448"/>
      <c r="D473" s="448"/>
      <c r="E473" s="448"/>
      <c r="F473" s="448"/>
    </row>
    <row r="474" ht="15.75" customHeight="1">
      <c r="B474" s="448"/>
      <c r="C474" s="448"/>
      <c r="D474" s="448"/>
      <c r="E474" s="448"/>
      <c r="F474" s="448"/>
    </row>
    <row r="475" ht="15.75" customHeight="1">
      <c r="B475" s="448"/>
      <c r="C475" s="448"/>
      <c r="D475" s="448"/>
      <c r="E475" s="448"/>
      <c r="F475" s="448"/>
    </row>
    <row r="476" ht="15.75" customHeight="1">
      <c r="B476" s="448"/>
      <c r="C476" s="448"/>
      <c r="D476" s="448"/>
      <c r="E476" s="448"/>
      <c r="F476" s="448"/>
    </row>
    <row r="477" ht="15.75" customHeight="1">
      <c r="B477" s="448"/>
      <c r="C477" s="448"/>
      <c r="D477" s="448"/>
      <c r="E477" s="448"/>
      <c r="F477" s="448"/>
    </row>
    <row r="478" ht="15.75" customHeight="1">
      <c r="B478" s="448"/>
      <c r="C478" s="448"/>
      <c r="D478" s="448"/>
      <c r="E478" s="448"/>
      <c r="F478" s="448"/>
    </row>
    <row r="479" ht="15.75" customHeight="1">
      <c r="B479" s="448"/>
      <c r="C479" s="448"/>
      <c r="D479" s="448"/>
      <c r="E479" s="448"/>
      <c r="F479" s="448"/>
    </row>
    <row r="480" ht="15.75" customHeight="1">
      <c r="B480" s="448"/>
      <c r="C480" s="448"/>
      <c r="D480" s="448"/>
      <c r="E480" s="448"/>
      <c r="F480" s="448"/>
    </row>
    <row r="481" ht="15.75" customHeight="1">
      <c r="B481" s="448"/>
      <c r="C481" s="448"/>
      <c r="D481" s="448"/>
      <c r="E481" s="448"/>
      <c r="F481" s="448"/>
    </row>
    <row r="482" ht="15.75" customHeight="1">
      <c r="B482" s="448"/>
      <c r="C482" s="448"/>
      <c r="D482" s="448"/>
      <c r="E482" s="448"/>
      <c r="F482" s="448"/>
    </row>
    <row r="483" ht="15.75" customHeight="1">
      <c r="B483" s="448"/>
      <c r="C483" s="448"/>
      <c r="D483" s="448"/>
      <c r="E483" s="448"/>
      <c r="F483" s="448"/>
    </row>
    <row r="484" ht="15.75" customHeight="1">
      <c r="B484" s="448"/>
      <c r="C484" s="448"/>
      <c r="D484" s="448"/>
      <c r="E484" s="448"/>
      <c r="F484" s="448"/>
    </row>
    <row r="485" ht="15.75" customHeight="1">
      <c r="B485" s="448"/>
      <c r="C485" s="448"/>
      <c r="D485" s="448"/>
      <c r="E485" s="448"/>
      <c r="F485" s="448"/>
    </row>
    <row r="486" ht="15.75" customHeight="1">
      <c r="B486" s="448"/>
      <c r="C486" s="448"/>
      <c r="D486" s="448"/>
      <c r="E486" s="448"/>
      <c r="F486" s="448"/>
    </row>
    <row r="487" ht="15.75" customHeight="1">
      <c r="B487" s="448"/>
      <c r="C487" s="448"/>
      <c r="D487" s="448"/>
      <c r="E487" s="448"/>
      <c r="F487" s="448"/>
    </row>
    <row r="488" ht="15.75" customHeight="1">
      <c r="B488" s="448"/>
      <c r="C488" s="448"/>
      <c r="D488" s="448"/>
      <c r="E488" s="448"/>
      <c r="F488" s="448"/>
    </row>
    <row r="489" ht="15.75" customHeight="1">
      <c r="B489" s="448"/>
      <c r="C489" s="448"/>
      <c r="D489" s="448"/>
      <c r="E489" s="448"/>
      <c r="F489" s="448"/>
    </row>
    <row r="490" ht="15.75" customHeight="1">
      <c r="B490" s="448"/>
      <c r="C490" s="448"/>
      <c r="D490" s="448"/>
      <c r="E490" s="448"/>
      <c r="F490" s="448"/>
    </row>
    <row r="491" ht="15.75" customHeight="1">
      <c r="B491" s="448"/>
      <c r="C491" s="448"/>
      <c r="D491" s="448"/>
      <c r="E491" s="448"/>
      <c r="F491" s="448"/>
    </row>
    <row r="492" ht="15.75" customHeight="1">
      <c r="B492" s="448"/>
      <c r="C492" s="448"/>
      <c r="D492" s="448"/>
      <c r="E492" s="448"/>
      <c r="F492" s="448"/>
    </row>
    <row r="493" ht="15.75" customHeight="1">
      <c r="B493" s="448"/>
      <c r="C493" s="448"/>
      <c r="D493" s="448"/>
      <c r="E493" s="448"/>
      <c r="F493" s="448"/>
    </row>
    <row r="494" ht="15.75" customHeight="1">
      <c r="B494" s="448"/>
      <c r="C494" s="448"/>
      <c r="D494" s="448"/>
      <c r="E494" s="448"/>
      <c r="F494" s="448"/>
    </row>
    <row r="495" ht="15.75" customHeight="1">
      <c r="B495" s="448"/>
      <c r="C495" s="448"/>
      <c r="D495" s="448"/>
      <c r="E495" s="448"/>
      <c r="F495" s="448"/>
    </row>
    <row r="496" ht="15.75" customHeight="1">
      <c r="B496" s="448"/>
      <c r="C496" s="448"/>
      <c r="D496" s="448"/>
      <c r="E496" s="448"/>
      <c r="F496" s="448"/>
    </row>
    <row r="497" ht="15.75" customHeight="1">
      <c r="B497" s="448"/>
      <c r="C497" s="448"/>
      <c r="D497" s="448"/>
      <c r="E497" s="448"/>
      <c r="F497" s="448"/>
    </row>
    <row r="498" ht="15.75" customHeight="1">
      <c r="B498" s="448"/>
      <c r="C498" s="448"/>
      <c r="D498" s="448"/>
      <c r="E498" s="448"/>
      <c r="F498" s="448"/>
    </row>
    <row r="499" ht="15.75" customHeight="1">
      <c r="B499" s="448"/>
      <c r="C499" s="448"/>
      <c r="D499" s="448"/>
      <c r="E499" s="448"/>
      <c r="F499" s="448"/>
    </row>
    <row r="500" ht="15.75" customHeight="1">
      <c r="B500" s="448"/>
      <c r="C500" s="448"/>
      <c r="D500" s="448"/>
      <c r="E500" s="448"/>
      <c r="F500" s="448"/>
    </row>
    <row r="501" ht="15.75" customHeight="1">
      <c r="B501" s="448"/>
      <c r="C501" s="448"/>
      <c r="D501" s="448"/>
      <c r="E501" s="448"/>
      <c r="F501" s="448"/>
    </row>
    <row r="502" ht="15.75" customHeight="1">
      <c r="B502" s="448"/>
      <c r="C502" s="448"/>
      <c r="D502" s="448"/>
      <c r="E502" s="448"/>
      <c r="F502" s="448"/>
    </row>
    <row r="503" ht="15.75" customHeight="1">
      <c r="B503" s="448"/>
      <c r="C503" s="448"/>
      <c r="D503" s="448"/>
      <c r="E503" s="448"/>
      <c r="F503" s="448"/>
    </row>
    <row r="504" ht="15.75" customHeight="1">
      <c r="B504" s="448"/>
      <c r="C504" s="448"/>
      <c r="D504" s="448"/>
      <c r="E504" s="448"/>
      <c r="F504" s="448"/>
    </row>
    <row r="505" ht="15.75" customHeight="1">
      <c r="B505" s="448"/>
      <c r="C505" s="448"/>
      <c r="D505" s="448"/>
      <c r="E505" s="448"/>
      <c r="F505" s="448"/>
    </row>
    <row r="506" ht="15.75" customHeight="1">
      <c r="B506" s="448"/>
      <c r="C506" s="448"/>
      <c r="D506" s="448"/>
      <c r="E506" s="448"/>
      <c r="F506" s="448"/>
    </row>
    <row r="507" ht="15.75" customHeight="1">
      <c r="B507" s="448"/>
      <c r="C507" s="448"/>
      <c r="D507" s="448"/>
      <c r="E507" s="448"/>
      <c r="F507" s="448"/>
    </row>
    <row r="508" ht="15.75" customHeight="1">
      <c r="B508" s="448"/>
      <c r="C508" s="448"/>
      <c r="D508" s="448"/>
      <c r="E508" s="448"/>
      <c r="F508" s="448"/>
    </row>
    <row r="509" ht="15.75" customHeight="1">
      <c r="B509" s="448"/>
      <c r="C509" s="448"/>
      <c r="D509" s="448"/>
      <c r="E509" s="448"/>
      <c r="F509" s="448"/>
    </row>
    <row r="510" ht="15.75" customHeight="1">
      <c r="B510" s="448"/>
      <c r="C510" s="448"/>
      <c r="D510" s="448"/>
      <c r="E510" s="448"/>
      <c r="F510" s="448"/>
    </row>
    <row r="511" ht="15.75" customHeight="1">
      <c r="B511" s="448"/>
      <c r="C511" s="448"/>
      <c r="D511" s="448"/>
      <c r="E511" s="448"/>
      <c r="F511" s="448"/>
    </row>
    <row r="512" ht="15.75" customHeight="1">
      <c r="B512" s="448"/>
      <c r="C512" s="448"/>
      <c r="D512" s="448"/>
      <c r="E512" s="448"/>
      <c r="F512" s="448"/>
    </row>
    <row r="513" ht="15.75" customHeight="1">
      <c r="B513" s="448"/>
      <c r="C513" s="448"/>
      <c r="D513" s="448"/>
      <c r="E513" s="448"/>
      <c r="F513" s="448"/>
    </row>
    <row r="514" ht="15.75" customHeight="1">
      <c r="B514" s="448"/>
      <c r="C514" s="448"/>
      <c r="D514" s="448"/>
      <c r="E514" s="448"/>
      <c r="F514" s="448"/>
    </row>
    <row r="515" ht="15.75" customHeight="1">
      <c r="B515" s="448"/>
      <c r="C515" s="448"/>
      <c r="D515" s="448"/>
      <c r="E515" s="448"/>
      <c r="F515" s="448"/>
    </row>
    <row r="516" ht="15.75" customHeight="1">
      <c r="B516" s="448"/>
      <c r="C516" s="448"/>
      <c r="D516" s="448"/>
      <c r="E516" s="448"/>
      <c r="F516" s="448"/>
    </row>
    <row r="517" ht="15.75" customHeight="1">
      <c r="B517" s="448"/>
      <c r="C517" s="448"/>
      <c r="D517" s="448"/>
      <c r="E517" s="448"/>
      <c r="F517" s="448"/>
    </row>
    <row r="518" ht="15.75" customHeight="1">
      <c r="B518" s="448"/>
      <c r="C518" s="448"/>
      <c r="D518" s="448"/>
      <c r="E518" s="448"/>
      <c r="F518" s="448"/>
    </row>
    <row r="519" ht="15.75" customHeight="1">
      <c r="B519" s="448"/>
      <c r="C519" s="448"/>
      <c r="D519" s="448"/>
      <c r="E519" s="448"/>
      <c r="F519" s="448"/>
    </row>
    <row r="520" ht="15.75" customHeight="1">
      <c r="B520" s="448"/>
      <c r="C520" s="448"/>
      <c r="D520" s="448"/>
      <c r="E520" s="448"/>
      <c r="F520" s="448"/>
    </row>
    <row r="521" ht="15.75" customHeight="1">
      <c r="B521" s="448"/>
      <c r="C521" s="448"/>
      <c r="D521" s="448"/>
      <c r="E521" s="448"/>
      <c r="F521" s="448"/>
    </row>
    <row r="522" ht="15.75" customHeight="1">
      <c r="B522" s="448"/>
      <c r="C522" s="448"/>
      <c r="D522" s="448"/>
      <c r="E522" s="448"/>
      <c r="F522" s="448"/>
    </row>
    <row r="523" ht="15.75" customHeight="1">
      <c r="B523" s="448"/>
      <c r="C523" s="448"/>
      <c r="D523" s="448"/>
      <c r="E523" s="448"/>
      <c r="F523" s="448"/>
    </row>
    <row r="524" ht="15.75" customHeight="1">
      <c r="B524" s="448"/>
      <c r="C524" s="448"/>
      <c r="D524" s="448"/>
      <c r="E524" s="448"/>
      <c r="F524" s="448"/>
    </row>
    <row r="525" ht="15.75" customHeight="1">
      <c r="B525" s="448"/>
      <c r="C525" s="448"/>
      <c r="D525" s="448"/>
      <c r="E525" s="448"/>
      <c r="F525" s="448"/>
    </row>
    <row r="526" ht="15.75" customHeight="1">
      <c r="B526" s="448"/>
      <c r="C526" s="448"/>
      <c r="D526" s="448"/>
      <c r="E526" s="448"/>
      <c r="F526" s="448"/>
    </row>
    <row r="527" ht="15.75" customHeight="1">
      <c r="B527" s="448"/>
      <c r="C527" s="448"/>
      <c r="D527" s="448"/>
      <c r="E527" s="448"/>
      <c r="F527" s="448"/>
    </row>
    <row r="528" ht="15.75" customHeight="1">
      <c r="B528" s="448"/>
      <c r="C528" s="448"/>
      <c r="D528" s="448"/>
      <c r="E528" s="448"/>
      <c r="F528" s="448"/>
    </row>
    <row r="529" ht="15.75" customHeight="1">
      <c r="B529" s="448"/>
      <c r="C529" s="448"/>
      <c r="D529" s="448"/>
      <c r="E529" s="448"/>
      <c r="F529" s="448"/>
    </row>
    <row r="530" ht="15.75" customHeight="1">
      <c r="B530" s="448"/>
      <c r="C530" s="448"/>
      <c r="D530" s="448"/>
      <c r="E530" s="448"/>
      <c r="F530" s="448"/>
    </row>
    <row r="531" ht="15.75" customHeight="1">
      <c r="B531" s="448"/>
      <c r="C531" s="448"/>
      <c r="D531" s="448"/>
      <c r="E531" s="448"/>
      <c r="F531" s="448"/>
    </row>
    <row r="532" ht="15.75" customHeight="1">
      <c r="B532" s="448"/>
      <c r="C532" s="448"/>
      <c r="D532" s="448"/>
      <c r="E532" s="448"/>
      <c r="F532" s="448"/>
    </row>
    <row r="533" ht="15.75" customHeight="1">
      <c r="B533" s="448"/>
      <c r="C533" s="448"/>
      <c r="D533" s="448"/>
      <c r="E533" s="448"/>
      <c r="F533" s="448"/>
    </row>
    <row r="534" ht="15.75" customHeight="1">
      <c r="B534" s="448"/>
      <c r="C534" s="448"/>
      <c r="D534" s="448"/>
      <c r="E534" s="448"/>
      <c r="F534" s="448"/>
    </row>
    <row r="535" ht="15.75" customHeight="1">
      <c r="B535" s="448"/>
      <c r="C535" s="448"/>
      <c r="D535" s="448"/>
      <c r="E535" s="448"/>
      <c r="F535" s="448"/>
    </row>
    <row r="536" ht="15.75" customHeight="1">
      <c r="B536" s="448"/>
      <c r="C536" s="448"/>
      <c r="D536" s="448"/>
      <c r="E536" s="448"/>
      <c r="F536" s="448"/>
    </row>
    <row r="537" ht="15.75" customHeight="1">
      <c r="B537" s="448"/>
      <c r="C537" s="448"/>
      <c r="D537" s="448"/>
      <c r="E537" s="448"/>
      <c r="F537" s="448"/>
    </row>
    <row r="538" ht="15.75" customHeight="1">
      <c r="B538" s="448"/>
      <c r="C538" s="448"/>
      <c r="D538" s="448"/>
      <c r="E538" s="448"/>
      <c r="F538" s="448"/>
    </row>
    <row r="539" ht="15.75" customHeight="1">
      <c r="B539" s="448"/>
      <c r="C539" s="448"/>
      <c r="D539" s="448"/>
      <c r="E539" s="448"/>
      <c r="F539" s="448"/>
    </row>
    <row r="540" ht="15.75" customHeight="1">
      <c r="B540" s="448"/>
      <c r="C540" s="448"/>
      <c r="D540" s="448"/>
      <c r="E540" s="448"/>
      <c r="F540" s="448"/>
    </row>
    <row r="541" ht="15.75" customHeight="1">
      <c r="B541" s="448"/>
      <c r="C541" s="448"/>
      <c r="D541" s="448"/>
      <c r="E541" s="448"/>
      <c r="F541" s="448"/>
    </row>
    <row r="542" ht="15.75" customHeight="1">
      <c r="B542" s="448"/>
      <c r="C542" s="448"/>
      <c r="D542" s="448"/>
      <c r="E542" s="448"/>
      <c r="F542" s="448"/>
    </row>
    <row r="543" ht="15.75" customHeight="1">
      <c r="B543" s="448"/>
      <c r="C543" s="448"/>
      <c r="D543" s="448"/>
      <c r="E543" s="448"/>
      <c r="F543" s="448"/>
    </row>
    <row r="544" ht="15.75" customHeight="1">
      <c r="B544" s="448"/>
      <c r="C544" s="448"/>
      <c r="D544" s="448"/>
      <c r="E544" s="448"/>
      <c r="F544" s="448"/>
    </row>
    <row r="545" ht="15.75" customHeight="1">
      <c r="B545" s="448"/>
      <c r="C545" s="448"/>
      <c r="D545" s="448"/>
      <c r="E545" s="448"/>
      <c r="F545" s="448"/>
    </row>
    <row r="546" ht="15.75" customHeight="1">
      <c r="B546" s="448"/>
      <c r="C546" s="448"/>
      <c r="D546" s="448"/>
      <c r="E546" s="448"/>
      <c r="F546" s="448"/>
    </row>
    <row r="547" ht="15.75" customHeight="1">
      <c r="B547" s="448"/>
      <c r="C547" s="448"/>
      <c r="D547" s="448"/>
      <c r="E547" s="448"/>
      <c r="F547" s="448"/>
    </row>
    <row r="548" ht="15.75" customHeight="1">
      <c r="B548" s="448"/>
      <c r="C548" s="448"/>
      <c r="D548" s="448"/>
      <c r="E548" s="448"/>
      <c r="F548" s="448"/>
    </row>
    <row r="549" ht="15.75" customHeight="1">
      <c r="B549" s="448"/>
      <c r="C549" s="448"/>
      <c r="D549" s="448"/>
      <c r="E549" s="448"/>
      <c r="F549" s="448"/>
    </row>
    <row r="550" ht="15.75" customHeight="1">
      <c r="B550" s="448"/>
      <c r="C550" s="448"/>
      <c r="D550" s="448"/>
      <c r="E550" s="448"/>
      <c r="F550" s="448"/>
    </row>
    <row r="551" ht="15.75" customHeight="1">
      <c r="B551" s="448"/>
      <c r="C551" s="448"/>
      <c r="D551" s="448"/>
      <c r="E551" s="448"/>
      <c r="F551" s="448"/>
    </row>
    <row r="552" ht="15.75" customHeight="1">
      <c r="B552" s="448"/>
      <c r="C552" s="448"/>
      <c r="D552" s="448"/>
      <c r="E552" s="448"/>
      <c r="F552" s="448"/>
    </row>
    <row r="553" ht="15.75" customHeight="1">
      <c r="B553" s="448"/>
      <c r="C553" s="448"/>
      <c r="D553" s="448"/>
      <c r="E553" s="448"/>
      <c r="F553" s="448"/>
    </row>
    <row r="554" ht="15.75" customHeight="1">
      <c r="B554" s="448"/>
      <c r="C554" s="448"/>
      <c r="D554" s="448"/>
      <c r="E554" s="448"/>
      <c r="F554" s="448"/>
    </row>
    <row r="555" ht="15.75" customHeight="1">
      <c r="B555" s="448"/>
      <c r="C555" s="448"/>
      <c r="D555" s="448"/>
      <c r="E555" s="448"/>
      <c r="F555" s="448"/>
    </row>
    <row r="556" ht="15.75" customHeight="1">
      <c r="B556" s="448"/>
      <c r="C556" s="448"/>
      <c r="D556" s="448"/>
      <c r="E556" s="448"/>
      <c r="F556" s="448"/>
    </row>
    <row r="557" ht="15.75" customHeight="1">
      <c r="B557" s="448"/>
      <c r="C557" s="448"/>
      <c r="D557" s="448"/>
      <c r="E557" s="448"/>
      <c r="F557" s="448"/>
    </row>
    <row r="558" ht="15.75" customHeight="1">
      <c r="B558" s="448"/>
      <c r="C558" s="448"/>
      <c r="D558" s="448"/>
      <c r="E558" s="448"/>
      <c r="F558" s="448"/>
    </row>
    <row r="559" ht="15.75" customHeight="1">
      <c r="B559" s="448"/>
      <c r="C559" s="448"/>
      <c r="D559" s="448"/>
      <c r="E559" s="448"/>
      <c r="F559" s="448"/>
    </row>
    <row r="560" ht="15.75" customHeight="1">
      <c r="B560" s="448"/>
      <c r="C560" s="448"/>
      <c r="D560" s="448"/>
      <c r="E560" s="448"/>
      <c r="F560" s="448"/>
    </row>
    <row r="561" ht="15.75" customHeight="1">
      <c r="B561" s="448"/>
      <c r="C561" s="448"/>
      <c r="D561" s="448"/>
      <c r="E561" s="448"/>
      <c r="F561" s="448"/>
    </row>
    <row r="562" ht="15.75" customHeight="1">
      <c r="B562" s="448"/>
      <c r="C562" s="448"/>
      <c r="D562" s="448"/>
      <c r="E562" s="448"/>
      <c r="F562" s="448"/>
    </row>
    <row r="563" ht="15.75" customHeight="1">
      <c r="B563" s="448"/>
      <c r="C563" s="448"/>
      <c r="D563" s="448"/>
      <c r="E563" s="448"/>
      <c r="F563" s="448"/>
    </row>
    <row r="564" ht="15.75" customHeight="1">
      <c r="B564" s="448"/>
      <c r="C564" s="448"/>
      <c r="D564" s="448"/>
      <c r="E564" s="448"/>
      <c r="F564" s="448"/>
    </row>
    <row r="565" ht="15.75" customHeight="1">
      <c r="B565" s="448"/>
      <c r="C565" s="448"/>
      <c r="D565" s="448"/>
      <c r="E565" s="448"/>
      <c r="F565" s="448"/>
    </row>
    <row r="566" ht="15.75" customHeight="1">
      <c r="B566" s="448"/>
      <c r="C566" s="448"/>
      <c r="D566" s="448"/>
      <c r="E566" s="448"/>
      <c r="F566" s="448"/>
    </row>
    <row r="567" ht="15.75" customHeight="1">
      <c r="B567" s="448"/>
      <c r="C567" s="448"/>
      <c r="D567" s="448"/>
      <c r="E567" s="448"/>
      <c r="F567" s="448"/>
    </row>
    <row r="568" ht="15.75" customHeight="1">
      <c r="B568" s="448"/>
      <c r="C568" s="448"/>
      <c r="D568" s="448"/>
      <c r="E568" s="448"/>
      <c r="F568" s="448"/>
    </row>
    <row r="569" ht="15.75" customHeight="1">
      <c r="B569" s="448"/>
      <c r="C569" s="448"/>
      <c r="D569" s="448"/>
      <c r="E569" s="448"/>
      <c r="F569" s="448"/>
    </row>
    <row r="570" ht="15.75" customHeight="1">
      <c r="B570" s="448"/>
      <c r="C570" s="448"/>
      <c r="D570" s="448"/>
      <c r="E570" s="448"/>
      <c r="F570" s="448"/>
    </row>
    <row r="571" ht="15.75" customHeight="1">
      <c r="B571" s="448"/>
      <c r="C571" s="448"/>
      <c r="D571" s="448"/>
      <c r="E571" s="448"/>
      <c r="F571" s="448"/>
    </row>
    <row r="572" ht="15.75" customHeight="1">
      <c r="B572" s="448"/>
      <c r="C572" s="448"/>
      <c r="D572" s="448"/>
      <c r="E572" s="448"/>
      <c r="F572" s="448"/>
    </row>
    <row r="573" ht="15.75" customHeight="1">
      <c r="B573" s="448"/>
      <c r="C573" s="448"/>
      <c r="D573" s="448"/>
      <c r="E573" s="448"/>
      <c r="F573" s="448"/>
    </row>
    <row r="574" ht="15.75" customHeight="1">
      <c r="B574" s="448"/>
      <c r="C574" s="448"/>
      <c r="D574" s="448"/>
      <c r="E574" s="448"/>
      <c r="F574" s="448"/>
    </row>
    <row r="575" ht="15.75" customHeight="1">
      <c r="B575" s="448"/>
      <c r="C575" s="448"/>
      <c r="D575" s="448"/>
      <c r="E575" s="448"/>
      <c r="F575" s="448"/>
    </row>
    <row r="576" ht="15.75" customHeight="1">
      <c r="B576" s="448"/>
      <c r="C576" s="448"/>
      <c r="D576" s="448"/>
      <c r="E576" s="448"/>
      <c r="F576" s="448"/>
    </row>
    <row r="577" ht="15.75" customHeight="1">
      <c r="B577" s="448"/>
      <c r="C577" s="448"/>
      <c r="D577" s="448"/>
      <c r="E577" s="448"/>
      <c r="F577" s="448"/>
    </row>
    <row r="578" ht="15.75" customHeight="1">
      <c r="B578" s="448"/>
      <c r="C578" s="448"/>
      <c r="D578" s="448"/>
      <c r="E578" s="448"/>
      <c r="F578" s="448"/>
    </row>
    <row r="579" ht="15.75" customHeight="1">
      <c r="B579" s="448"/>
      <c r="C579" s="448"/>
      <c r="D579" s="448"/>
      <c r="E579" s="448"/>
      <c r="F579" s="448"/>
    </row>
    <row r="580" ht="15.75" customHeight="1">
      <c r="B580" s="448"/>
      <c r="C580" s="448"/>
      <c r="D580" s="448"/>
      <c r="E580" s="448"/>
      <c r="F580" s="448"/>
    </row>
    <row r="581" ht="15.75" customHeight="1">
      <c r="B581" s="448"/>
      <c r="C581" s="448"/>
      <c r="D581" s="448"/>
      <c r="E581" s="448"/>
      <c r="F581" s="448"/>
    </row>
    <row r="582" ht="15.75" customHeight="1">
      <c r="B582" s="448"/>
      <c r="C582" s="448"/>
      <c r="D582" s="448"/>
      <c r="E582" s="448"/>
      <c r="F582" s="448"/>
    </row>
    <row r="583" ht="15.75" customHeight="1">
      <c r="B583" s="448"/>
      <c r="C583" s="448"/>
      <c r="D583" s="448"/>
      <c r="E583" s="448"/>
      <c r="F583" s="448"/>
    </row>
    <row r="584" ht="15.75" customHeight="1">
      <c r="B584" s="448"/>
      <c r="C584" s="448"/>
      <c r="D584" s="448"/>
      <c r="E584" s="448"/>
      <c r="F584" s="448"/>
    </row>
    <row r="585" ht="15.75" customHeight="1">
      <c r="B585" s="448"/>
      <c r="C585" s="448"/>
      <c r="D585" s="448"/>
      <c r="E585" s="448"/>
      <c r="F585" s="448"/>
    </row>
    <row r="586" ht="15.75" customHeight="1">
      <c r="B586" s="448"/>
      <c r="C586" s="448"/>
      <c r="D586" s="448"/>
      <c r="E586" s="448"/>
      <c r="F586" s="448"/>
    </row>
    <row r="587" ht="15.75" customHeight="1">
      <c r="B587" s="448"/>
      <c r="C587" s="448"/>
      <c r="D587" s="448"/>
      <c r="E587" s="448"/>
      <c r="F587" s="448"/>
    </row>
    <row r="588" ht="15.75" customHeight="1">
      <c r="B588" s="448"/>
      <c r="C588" s="448"/>
      <c r="D588" s="448"/>
      <c r="E588" s="448"/>
      <c r="F588" s="448"/>
    </row>
    <row r="589" ht="15.75" customHeight="1">
      <c r="B589" s="448"/>
      <c r="C589" s="448"/>
      <c r="D589" s="448"/>
      <c r="E589" s="448"/>
      <c r="F589" s="448"/>
    </row>
    <row r="590" ht="15.75" customHeight="1">
      <c r="B590" s="448"/>
      <c r="C590" s="448"/>
      <c r="D590" s="448"/>
      <c r="E590" s="448"/>
      <c r="F590" s="448"/>
    </row>
    <row r="591" ht="15.75" customHeight="1">
      <c r="B591" s="448"/>
      <c r="C591" s="448"/>
      <c r="D591" s="448"/>
      <c r="E591" s="448"/>
      <c r="F591" s="448"/>
    </row>
    <row r="592" ht="15.75" customHeight="1">
      <c r="B592" s="448"/>
      <c r="C592" s="448"/>
      <c r="D592" s="448"/>
      <c r="E592" s="448"/>
      <c r="F592" s="448"/>
    </row>
    <row r="593" ht="15.75" customHeight="1">
      <c r="B593" s="448"/>
      <c r="C593" s="448"/>
      <c r="D593" s="448"/>
      <c r="E593" s="448"/>
      <c r="F593" s="448"/>
    </row>
    <row r="594" ht="15.75" customHeight="1">
      <c r="B594" s="448"/>
      <c r="C594" s="448"/>
      <c r="D594" s="448"/>
      <c r="E594" s="448"/>
      <c r="F594" s="448"/>
    </row>
    <row r="595" ht="15.75" customHeight="1">
      <c r="B595" s="448"/>
      <c r="C595" s="448"/>
      <c r="D595" s="448"/>
      <c r="E595" s="448"/>
      <c r="F595" s="448"/>
    </row>
    <row r="596" ht="15.75" customHeight="1">
      <c r="B596" s="448"/>
      <c r="C596" s="448"/>
      <c r="D596" s="448"/>
      <c r="E596" s="448"/>
      <c r="F596" s="448"/>
    </row>
    <row r="597" ht="15.75" customHeight="1">
      <c r="B597" s="448"/>
      <c r="C597" s="448"/>
      <c r="D597" s="448"/>
      <c r="E597" s="448"/>
      <c r="F597" s="448"/>
    </row>
    <row r="598" ht="15.75" customHeight="1">
      <c r="B598" s="448"/>
      <c r="C598" s="448"/>
      <c r="D598" s="448"/>
      <c r="E598" s="448"/>
      <c r="F598" s="448"/>
    </row>
    <row r="599" ht="15.75" customHeight="1">
      <c r="B599" s="448"/>
      <c r="C599" s="448"/>
      <c r="D599" s="448"/>
      <c r="E599" s="448"/>
      <c r="F599" s="448"/>
    </row>
    <row r="600" ht="15.75" customHeight="1">
      <c r="B600" s="448"/>
      <c r="C600" s="448"/>
      <c r="D600" s="448"/>
      <c r="E600" s="448"/>
      <c r="F600" s="448"/>
    </row>
    <row r="601" ht="15.75" customHeight="1">
      <c r="B601" s="448"/>
      <c r="C601" s="448"/>
      <c r="D601" s="448"/>
      <c r="E601" s="448"/>
      <c r="F601" s="448"/>
    </row>
    <row r="602" ht="15.75" customHeight="1">
      <c r="B602" s="448"/>
      <c r="C602" s="448"/>
      <c r="D602" s="448"/>
      <c r="E602" s="448"/>
      <c r="F602" s="448"/>
    </row>
    <row r="603" ht="15.75" customHeight="1">
      <c r="B603" s="448"/>
      <c r="C603" s="448"/>
      <c r="D603" s="448"/>
      <c r="E603" s="448"/>
      <c r="F603" s="448"/>
    </row>
    <row r="604" ht="15.75" customHeight="1">
      <c r="B604" s="448"/>
      <c r="C604" s="448"/>
      <c r="D604" s="448"/>
      <c r="E604" s="448"/>
      <c r="F604" s="448"/>
    </row>
    <row r="605" ht="15.75" customHeight="1">
      <c r="B605" s="448"/>
      <c r="C605" s="448"/>
      <c r="D605" s="448"/>
      <c r="E605" s="448"/>
      <c r="F605" s="448"/>
    </row>
    <row r="606" ht="15.75" customHeight="1">
      <c r="B606" s="448"/>
      <c r="C606" s="448"/>
      <c r="D606" s="448"/>
      <c r="E606" s="448"/>
      <c r="F606" s="448"/>
    </row>
    <row r="607" ht="15.75" customHeight="1">
      <c r="B607" s="448"/>
      <c r="C607" s="448"/>
      <c r="D607" s="448"/>
      <c r="E607" s="448"/>
      <c r="F607" s="448"/>
    </row>
    <row r="608" ht="15.75" customHeight="1">
      <c r="B608" s="448"/>
      <c r="C608" s="448"/>
      <c r="D608" s="448"/>
      <c r="E608" s="448"/>
      <c r="F608" s="448"/>
    </row>
    <row r="609" ht="15.75" customHeight="1">
      <c r="B609" s="448"/>
      <c r="C609" s="448"/>
      <c r="D609" s="448"/>
      <c r="E609" s="448"/>
      <c r="F609" s="448"/>
    </row>
    <row r="610" ht="15.75" customHeight="1">
      <c r="B610" s="448"/>
      <c r="C610" s="448"/>
      <c r="D610" s="448"/>
      <c r="E610" s="448"/>
      <c r="F610" s="448"/>
    </row>
    <row r="611" ht="15.75" customHeight="1">
      <c r="B611" s="448"/>
      <c r="C611" s="448"/>
      <c r="D611" s="448"/>
      <c r="E611" s="448"/>
      <c r="F611" s="448"/>
    </row>
    <row r="612" ht="15.75" customHeight="1">
      <c r="B612" s="448"/>
      <c r="C612" s="448"/>
      <c r="D612" s="448"/>
      <c r="E612" s="448"/>
      <c r="F612" s="448"/>
    </row>
    <row r="613" ht="15.75" customHeight="1">
      <c r="B613" s="448"/>
      <c r="C613" s="448"/>
      <c r="D613" s="448"/>
      <c r="E613" s="448"/>
      <c r="F613" s="448"/>
    </row>
    <row r="614" ht="15.75" customHeight="1">
      <c r="B614" s="448"/>
      <c r="C614" s="448"/>
      <c r="D614" s="448"/>
      <c r="E614" s="448"/>
      <c r="F614" s="448"/>
    </row>
    <row r="615" ht="15.75" customHeight="1">
      <c r="B615" s="448"/>
      <c r="C615" s="448"/>
      <c r="D615" s="448"/>
      <c r="E615" s="448"/>
      <c r="F615" s="448"/>
    </row>
    <row r="616" ht="15.75" customHeight="1">
      <c r="B616" s="448"/>
      <c r="C616" s="448"/>
      <c r="D616" s="448"/>
      <c r="E616" s="448"/>
      <c r="F616" s="448"/>
    </row>
    <row r="617" ht="15.75" customHeight="1">
      <c r="B617" s="448"/>
      <c r="C617" s="448"/>
      <c r="D617" s="448"/>
      <c r="E617" s="448"/>
      <c r="F617" s="448"/>
    </row>
    <row r="618" ht="15.75" customHeight="1">
      <c r="B618" s="448"/>
      <c r="C618" s="448"/>
      <c r="D618" s="448"/>
      <c r="E618" s="448"/>
      <c r="F618" s="448"/>
    </row>
    <row r="619" ht="15.75" customHeight="1">
      <c r="B619" s="448"/>
      <c r="C619" s="448"/>
      <c r="D619" s="448"/>
      <c r="E619" s="448"/>
      <c r="F619" s="448"/>
    </row>
    <row r="620" ht="15.75" customHeight="1">
      <c r="B620" s="448"/>
      <c r="C620" s="448"/>
      <c r="D620" s="448"/>
      <c r="E620" s="448"/>
      <c r="F620" s="448"/>
    </row>
    <row r="621" ht="15.75" customHeight="1">
      <c r="B621" s="448"/>
      <c r="C621" s="448"/>
      <c r="D621" s="448"/>
      <c r="E621" s="448"/>
      <c r="F621" s="448"/>
    </row>
    <row r="622" ht="15.75" customHeight="1">
      <c r="B622" s="448"/>
      <c r="C622" s="448"/>
      <c r="D622" s="448"/>
      <c r="E622" s="448"/>
      <c r="F622" s="448"/>
    </row>
    <row r="623" ht="15.75" customHeight="1">
      <c r="B623" s="448"/>
      <c r="C623" s="448"/>
      <c r="D623" s="448"/>
      <c r="E623" s="448"/>
      <c r="F623" s="448"/>
    </row>
    <row r="624" ht="15.75" customHeight="1">
      <c r="B624" s="448"/>
      <c r="C624" s="448"/>
      <c r="D624" s="448"/>
      <c r="E624" s="448"/>
      <c r="F624" s="448"/>
    </row>
    <row r="625" ht="15.75" customHeight="1">
      <c r="B625" s="448"/>
      <c r="C625" s="448"/>
      <c r="D625" s="448"/>
      <c r="E625" s="448"/>
      <c r="F625" s="448"/>
    </row>
    <row r="626" ht="15.75" customHeight="1">
      <c r="B626" s="448"/>
      <c r="C626" s="448"/>
      <c r="D626" s="448"/>
      <c r="E626" s="448"/>
      <c r="F626" s="448"/>
    </row>
    <row r="627" ht="15.75" customHeight="1">
      <c r="B627" s="448"/>
      <c r="C627" s="448"/>
      <c r="D627" s="448"/>
      <c r="E627" s="448"/>
      <c r="F627" s="448"/>
    </row>
    <row r="628" ht="15.75" customHeight="1">
      <c r="B628" s="448"/>
      <c r="C628" s="448"/>
      <c r="D628" s="448"/>
      <c r="E628" s="448"/>
      <c r="F628" s="448"/>
    </row>
    <row r="629" ht="15.75" customHeight="1">
      <c r="B629" s="448"/>
      <c r="C629" s="448"/>
      <c r="D629" s="448"/>
      <c r="E629" s="448"/>
      <c r="F629" s="448"/>
    </row>
    <row r="630" ht="15.75" customHeight="1">
      <c r="B630" s="448"/>
      <c r="C630" s="448"/>
      <c r="D630" s="448"/>
      <c r="E630" s="448"/>
      <c r="F630" s="448"/>
    </row>
    <row r="631" ht="15.75" customHeight="1">
      <c r="B631" s="448"/>
      <c r="C631" s="448"/>
      <c r="D631" s="448"/>
      <c r="E631" s="448"/>
      <c r="F631" s="448"/>
    </row>
    <row r="632" ht="15.75" customHeight="1">
      <c r="B632" s="448"/>
      <c r="C632" s="448"/>
      <c r="D632" s="448"/>
      <c r="E632" s="448"/>
      <c r="F632" s="448"/>
    </row>
    <row r="633" ht="15.75" customHeight="1">
      <c r="B633" s="448"/>
      <c r="C633" s="448"/>
      <c r="D633" s="448"/>
      <c r="E633" s="448"/>
      <c r="F633" s="448"/>
    </row>
    <row r="634" ht="15.75" customHeight="1">
      <c r="B634" s="448"/>
      <c r="C634" s="448"/>
      <c r="D634" s="448"/>
      <c r="E634" s="448"/>
      <c r="F634" s="448"/>
    </row>
    <row r="635" ht="15.75" customHeight="1">
      <c r="B635" s="448"/>
      <c r="C635" s="448"/>
      <c r="D635" s="448"/>
      <c r="E635" s="448"/>
      <c r="F635" s="448"/>
    </row>
    <row r="636" ht="15.75" customHeight="1">
      <c r="B636" s="448"/>
      <c r="C636" s="448"/>
      <c r="D636" s="448"/>
      <c r="E636" s="448"/>
      <c r="F636" s="448"/>
    </row>
    <row r="637" ht="15.75" customHeight="1">
      <c r="B637" s="448"/>
      <c r="C637" s="448"/>
      <c r="D637" s="448"/>
      <c r="E637" s="448"/>
      <c r="F637" s="448"/>
    </row>
    <row r="638" ht="15.75" customHeight="1">
      <c r="B638" s="448"/>
      <c r="C638" s="448"/>
      <c r="D638" s="448"/>
      <c r="E638" s="448"/>
      <c r="F638" s="448"/>
    </row>
    <row r="639" ht="15.75" customHeight="1">
      <c r="B639" s="448"/>
      <c r="C639" s="448"/>
      <c r="D639" s="448"/>
      <c r="E639" s="448"/>
      <c r="F639" s="448"/>
    </row>
    <row r="640" ht="15.75" customHeight="1">
      <c r="B640" s="448"/>
      <c r="C640" s="448"/>
      <c r="D640" s="448"/>
      <c r="E640" s="448"/>
      <c r="F640" s="448"/>
    </row>
    <row r="641" ht="15.75" customHeight="1">
      <c r="B641" s="448"/>
      <c r="C641" s="448"/>
      <c r="D641" s="448"/>
      <c r="E641" s="448"/>
      <c r="F641" s="448"/>
    </row>
    <row r="642" ht="15.75" customHeight="1">
      <c r="B642" s="448"/>
      <c r="C642" s="448"/>
      <c r="D642" s="448"/>
      <c r="E642" s="448"/>
      <c r="F642" s="448"/>
    </row>
    <row r="643" ht="15.75" customHeight="1">
      <c r="B643" s="448"/>
      <c r="C643" s="448"/>
      <c r="D643" s="448"/>
      <c r="E643" s="448"/>
      <c r="F643" s="448"/>
    </row>
    <row r="644" ht="15.75" customHeight="1">
      <c r="B644" s="448"/>
      <c r="C644" s="448"/>
      <c r="D644" s="448"/>
      <c r="E644" s="448"/>
      <c r="F644" s="448"/>
    </row>
    <row r="645" ht="15.75" customHeight="1">
      <c r="B645" s="448"/>
      <c r="C645" s="448"/>
      <c r="D645" s="448"/>
      <c r="E645" s="448"/>
      <c r="F645" s="448"/>
    </row>
    <row r="646" ht="15.75" customHeight="1">
      <c r="B646" s="448"/>
      <c r="C646" s="448"/>
      <c r="D646" s="448"/>
      <c r="E646" s="448"/>
      <c r="F646" s="448"/>
    </row>
    <row r="647" ht="15.75" customHeight="1">
      <c r="B647" s="448"/>
      <c r="C647" s="448"/>
      <c r="D647" s="448"/>
      <c r="E647" s="448"/>
      <c r="F647" s="448"/>
    </row>
    <row r="648" ht="15.75" customHeight="1">
      <c r="B648" s="448"/>
      <c r="C648" s="448"/>
      <c r="D648" s="448"/>
      <c r="E648" s="448"/>
      <c r="F648" s="448"/>
    </row>
    <row r="649" ht="15.75" customHeight="1">
      <c r="B649" s="448"/>
      <c r="C649" s="448"/>
      <c r="D649" s="448"/>
      <c r="E649" s="448"/>
      <c r="F649" s="448"/>
    </row>
    <row r="650" ht="15.75" customHeight="1">
      <c r="B650" s="448"/>
      <c r="C650" s="448"/>
      <c r="D650" s="448"/>
      <c r="E650" s="448"/>
      <c r="F650" s="448"/>
    </row>
    <row r="651" ht="15.75" customHeight="1">
      <c r="B651" s="448"/>
      <c r="C651" s="448"/>
      <c r="D651" s="448"/>
      <c r="E651" s="448"/>
      <c r="F651" s="448"/>
    </row>
    <row r="652" ht="15.75" customHeight="1">
      <c r="B652" s="448"/>
      <c r="C652" s="448"/>
      <c r="D652" s="448"/>
      <c r="E652" s="448"/>
      <c r="F652" s="448"/>
    </row>
    <row r="653" ht="15.75" customHeight="1">
      <c r="B653" s="448"/>
      <c r="C653" s="448"/>
      <c r="D653" s="448"/>
      <c r="E653" s="448"/>
      <c r="F653" s="448"/>
    </row>
    <row r="654" ht="15.75" customHeight="1">
      <c r="B654" s="448"/>
      <c r="C654" s="448"/>
      <c r="D654" s="448"/>
      <c r="E654" s="448"/>
      <c r="F654" s="448"/>
    </row>
    <row r="655" ht="15.75" customHeight="1">
      <c r="B655" s="448"/>
      <c r="C655" s="448"/>
      <c r="D655" s="448"/>
      <c r="E655" s="448"/>
      <c r="F655" s="448"/>
    </row>
    <row r="656" ht="15.75" customHeight="1">
      <c r="B656" s="448"/>
      <c r="C656" s="448"/>
      <c r="D656" s="448"/>
      <c r="E656" s="448"/>
      <c r="F656" s="448"/>
    </row>
    <row r="657" ht="15.75" customHeight="1">
      <c r="B657" s="448"/>
      <c r="C657" s="448"/>
      <c r="D657" s="448"/>
      <c r="E657" s="448"/>
      <c r="F657" s="448"/>
    </row>
    <row r="658" ht="15.75" customHeight="1">
      <c r="B658" s="448"/>
      <c r="C658" s="448"/>
      <c r="D658" s="448"/>
      <c r="E658" s="448"/>
      <c r="F658" s="448"/>
    </row>
    <row r="659" ht="15.75" customHeight="1">
      <c r="B659" s="448"/>
      <c r="C659" s="448"/>
      <c r="D659" s="448"/>
      <c r="E659" s="448"/>
      <c r="F659" s="448"/>
    </row>
    <row r="660" ht="15.75" customHeight="1">
      <c r="B660" s="448"/>
      <c r="C660" s="448"/>
      <c r="D660" s="448"/>
      <c r="E660" s="448"/>
      <c r="F660" s="448"/>
    </row>
    <row r="661" ht="15.75" customHeight="1">
      <c r="B661" s="448"/>
      <c r="C661" s="448"/>
      <c r="D661" s="448"/>
      <c r="E661" s="448"/>
      <c r="F661" s="448"/>
    </row>
    <row r="662" ht="15.75" customHeight="1">
      <c r="B662" s="448"/>
      <c r="C662" s="448"/>
      <c r="D662" s="448"/>
      <c r="E662" s="448"/>
      <c r="F662" s="448"/>
    </row>
    <row r="663" ht="15.75" customHeight="1">
      <c r="B663" s="448"/>
      <c r="C663" s="448"/>
      <c r="D663" s="448"/>
      <c r="E663" s="448"/>
      <c r="F663" s="448"/>
    </row>
    <row r="664" ht="15.75" customHeight="1">
      <c r="B664" s="448"/>
      <c r="C664" s="448"/>
      <c r="D664" s="448"/>
      <c r="E664" s="448"/>
      <c r="F664" s="448"/>
    </row>
    <row r="665" ht="15.75" customHeight="1">
      <c r="B665" s="448"/>
      <c r="C665" s="448"/>
      <c r="D665" s="448"/>
      <c r="E665" s="448"/>
      <c r="F665" s="448"/>
    </row>
    <row r="666" ht="15.75" customHeight="1">
      <c r="B666" s="448"/>
      <c r="C666" s="448"/>
      <c r="D666" s="448"/>
      <c r="E666" s="448"/>
      <c r="F666" s="448"/>
    </row>
    <row r="667" ht="15.75" customHeight="1">
      <c r="B667" s="448"/>
      <c r="C667" s="448"/>
      <c r="D667" s="448"/>
      <c r="E667" s="448"/>
      <c r="F667" s="448"/>
    </row>
    <row r="668" ht="15.75" customHeight="1">
      <c r="B668" s="448"/>
      <c r="C668" s="448"/>
      <c r="D668" s="448"/>
      <c r="E668" s="448"/>
      <c r="F668" s="448"/>
    </row>
    <row r="669" ht="15.75" customHeight="1">
      <c r="B669" s="448"/>
      <c r="C669" s="448"/>
      <c r="D669" s="448"/>
      <c r="E669" s="448"/>
      <c r="F669" s="448"/>
    </row>
    <row r="670" ht="15.75" customHeight="1">
      <c r="B670" s="448"/>
      <c r="C670" s="448"/>
      <c r="D670" s="448"/>
      <c r="E670" s="448"/>
      <c r="F670" s="448"/>
    </row>
    <row r="671" ht="15.75" customHeight="1">
      <c r="B671" s="448"/>
      <c r="C671" s="448"/>
      <c r="D671" s="448"/>
      <c r="E671" s="448"/>
      <c r="F671" s="448"/>
    </row>
    <row r="672" ht="15.75" customHeight="1">
      <c r="B672" s="448"/>
      <c r="C672" s="448"/>
      <c r="D672" s="448"/>
      <c r="E672" s="448"/>
      <c r="F672" s="448"/>
    </row>
    <row r="673" ht="15.75" customHeight="1">
      <c r="B673" s="448"/>
      <c r="C673" s="448"/>
      <c r="D673" s="448"/>
      <c r="E673" s="448"/>
      <c r="F673" s="448"/>
    </row>
    <row r="674" ht="15.75" customHeight="1">
      <c r="B674" s="448"/>
      <c r="C674" s="448"/>
      <c r="D674" s="448"/>
      <c r="E674" s="448"/>
      <c r="F674" s="448"/>
    </row>
    <row r="675" ht="15.75" customHeight="1">
      <c r="B675" s="448"/>
      <c r="C675" s="448"/>
      <c r="D675" s="448"/>
      <c r="E675" s="448"/>
      <c r="F675" s="448"/>
    </row>
    <row r="676" ht="15.75" customHeight="1">
      <c r="B676" s="448"/>
      <c r="C676" s="448"/>
      <c r="D676" s="448"/>
      <c r="E676" s="448"/>
      <c r="F676" s="448"/>
    </row>
    <row r="677" ht="15.75" customHeight="1">
      <c r="B677" s="448"/>
      <c r="C677" s="448"/>
      <c r="D677" s="448"/>
      <c r="E677" s="448"/>
      <c r="F677" s="448"/>
    </row>
    <row r="678" ht="15.75" customHeight="1">
      <c r="B678" s="448"/>
      <c r="C678" s="448"/>
      <c r="D678" s="448"/>
      <c r="E678" s="448"/>
      <c r="F678" s="448"/>
    </row>
    <row r="679" ht="15.75" customHeight="1">
      <c r="B679" s="448"/>
      <c r="C679" s="448"/>
      <c r="D679" s="448"/>
      <c r="E679" s="448"/>
      <c r="F679" s="448"/>
    </row>
    <row r="680" ht="15.75" customHeight="1">
      <c r="B680" s="448"/>
      <c r="C680" s="448"/>
      <c r="D680" s="448"/>
      <c r="E680" s="448"/>
      <c r="F680" s="448"/>
    </row>
    <row r="681" ht="15.75" customHeight="1">
      <c r="B681" s="448"/>
      <c r="C681" s="448"/>
      <c r="D681" s="448"/>
      <c r="E681" s="448"/>
      <c r="F681" s="448"/>
    </row>
    <row r="682" ht="15.75" customHeight="1">
      <c r="B682" s="448"/>
      <c r="C682" s="448"/>
      <c r="D682" s="448"/>
      <c r="E682" s="448"/>
      <c r="F682" s="448"/>
    </row>
    <row r="683" ht="15.75" customHeight="1">
      <c r="B683" s="448"/>
      <c r="C683" s="448"/>
      <c r="D683" s="448"/>
      <c r="E683" s="448"/>
      <c r="F683" s="448"/>
    </row>
    <row r="684" ht="15.75" customHeight="1">
      <c r="B684" s="448"/>
      <c r="C684" s="448"/>
      <c r="D684" s="448"/>
      <c r="E684" s="448"/>
      <c r="F684" s="448"/>
    </row>
    <row r="685" ht="15.75" customHeight="1">
      <c r="B685" s="448"/>
      <c r="C685" s="448"/>
      <c r="D685" s="448"/>
      <c r="E685" s="448"/>
      <c r="F685" s="448"/>
    </row>
    <row r="686" ht="15.75" customHeight="1">
      <c r="B686" s="448"/>
      <c r="C686" s="448"/>
      <c r="D686" s="448"/>
      <c r="E686" s="448"/>
      <c r="F686" s="448"/>
    </row>
    <row r="687" ht="15.75" customHeight="1">
      <c r="B687" s="448"/>
      <c r="C687" s="448"/>
      <c r="D687" s="448"/>
      <c r="E687" s="448"/>
      <c r="F687" s="448"/>
    </row>
    <row r="688" ht="15.75" customHeight="1">
      <c r="B688" s="448"/>
      <c r="C688" s="448"/>
      <c r="D688" s="448"/>
      <c r="E688" s="448"/>
      <c r="F688" s="448"/>
    </row>
    <row r="689" ht="15.75" customHeight="1">
      <c r="B689" s="448"/>
      <c r="C689" s="448"/>
      <c r="D689" s="448"/>
      <c r="E689" s="448"/>
      <c r="F689" s="448"/>
    </row>
    <row r="690" ht="15.75" customHeight="1">
      <c r="B690" s="448"/>
      <c r="C690" s="448"/>
      <c r="D690" s="448"/>
      <c r="E690" s="448"/>
      <c r="F690" s="448"/>
    </row>
    <row r="691" ht="15.75" customHeight="1">
      <c r="B691" s="448"/>
      <c r="C691" s="448"/>
      <c r="D691" s="448"/>
      <c r="E691" s="448"/>
      <c r="F691" s="448"/>
    </row>
    <row r="692" ht="15.75" customHeight="1">
      <c r="B692" s="448"/>
      <c r="C692" s="448"/>
      <c r="D692" s="448"/>
      <c r="E692" s="448"/>
      <c r="F692" s="448"/>
    </row>
    <row r="693" ht="15.75" customHeight="1">
      <c r="B693" s="448"/>
      <c r="C693" s="448"/>
      <c r="D693" s="448"/>
      <c r="E693" s="448"/>
      <c r="F693" s="448"/>
    </row>
    <row r="694" ht="15.75" customHeight="1">
      <c r="B694" s="448"/>
      <c r="C694" s="448"/>
      <c r="D694" s="448"/>
      <c r="E694" s="448"/>
      <c r="F694" s="448"/>
    </row>
    <row r="695" ht="15.75" customHeight="1">
      <c r="B695" s="448"/>
      <c r="C695" s="448"/>
      <c r="D695" s="448"/>
      <c r="E695" s="448"/>
      <c r="F695" s="448"/>
    </row>
    <row r="696" ht="15.75" customHeight="1">
      <c r="B696" s="448"/>
      <c r="C696" s="448"/>
      <c r="D696" s="448"/>
      <c r="E696" s="448"/>
      <c r="F696" s="448"/>
    </row>
    <row r="697" ht="15.75" customHeight="1">
      <c r="B697" s="448"/>
      <c r="C697" s="448"/>
      <c r="D697" s="448"/>
      <c r="E697" s="448"/>
      <c r="F697" s="448"/>
    </row>
    <row r="698" ht="15.75" customHeight="1">
      <c r="B698" s="448"/>
      <c r="C698" s="448"/>
      <c r="D698" s="448"/>
      <c r="E698" s="448"/>
      <c r="F698" s="448"/>
    </row>
    <row r="699" ht="15.75" customHeight="1">
      <c r="B699" s="448"/>
      <c r="C699" s="448"/>
      <c r="D699" s="448"/>
      <c r="E699" s="448"/>
      <c r="F699" s="448"/>
    </row>
    <row r="700" ht="15.75" customHeight="1">
      <c r="B700" s="448"/>
      <c r="C700" s="448"/>
      <c r="D700" s="448"/>
      <c r="E700" s="448"/>
      <c r="F700" s="448"/>
    </row>
    <row r="701" ht="15.75" customHeight="1">
      <c r="B701" s="448"/>
      <c r="C701" s="448"/>
      <c r="D701" s="448"/>
      <c r="E701" s="448"/>
      <c r="F701" s="448"/>
    </row>
    <row r="702" ht="15.75" customHeight="1">
      <c r="B702" s="448"/>
      <c r="C702" s="448"/>
      <c r="D702" s="448"/>
      <c r="E702" s="448"/>
      <c r="F702" s="448"/>
    </row>
    <row r="703" ht="15.75" customHeight="1">
      <c r="B703" s="448"/>
      <c r="C703" s="448"/>
      <c r="D703" s="448"/>
      <c r="E703" s="448"/>
      <c r="F703" s="448"/>
    </row>
    <row r="704" ht="15.75" customHeight="1">
      <c r="B704" s="448"/>
      <c r="C704" s="448"/>
      <c r="D704" s="448"/>
      <c r="E704" s="448"/>
      <c r="F704" s="448"/>
    </row>
    <row r="705" ht="15.75" customHeight="1">
      <c r="B705" s="448"/>
      <c r="C705" s="448"/>
      <c r="D705" s="448"/>
      <c r="E705" s="448"/>
      <c r="F705" s="448"/>
    </row>
    <row r="706" ht="15.75" customHeight="1">
      <c r="B706" s="448"/>
      <c r="C706" s="448"/>
      <c r="D706" s="448"/>
      <c r="E706" s="448"/>
      <c r="F706" s="448"/>
    </row>
    <row r="707" ht="15.75" customHeight="1">
      <c r="B707" s="448"/>
      <c r="C707" s="448"/>
      <c r="D707" s="448"/>
      <c r="E707" s="448"/>
      <c r="F707" s="448"/>
    </row>
    <row r="708" ht="15.75" customHeight="1">
      <c r="B708" s="448"/>
      <c r="C708" s="448"/>
      <c r="D708" s="448"/>
      <c r="E708" s="448"/>
      <c r="F708" s="448"/>
    </row>
    <row r="709" ht="15.75" customHeight="1">
      <c r="B709" s="448"/>
      <c r="C709" s="448"/>
      <c r="D709" s="448"/>
      <c r="E709" s="448"/>
      <c r="F709" s="448"/>
    </row>
    <row r="710" ht="15.75" customHeight="1">
      <c r="B710" s="448"/>
      <c r="C710" s="448"/>
      <c r="D710" s="448"/>
      <c r="E710" s="448"/>
      <c r="F710" s="448"/>
    </row>
    <row r="711" ht="15.75" customHeight="1">
      <c r="B711" s="448"/>
      <c r="C711" s="448"/>
      <c r="D711" s="448"/>
      <c r="E711" s="448"/>
      <c r="F711" s="448"/>
    </row>
    <row r="712" ht="15.75" customHeight="1">
      <c r="B712" s="448"/>
      <c r="C712" s="448"/>
      <c r="D712" s="448"/>
      <c r="E712" s="448"/>
      <c r="F712" s="448"/>
    </row>
    <row r="713" ht="15.75" customHeight="1">
      <c r="B713" s="448"/>
      <c r="C713" s="448"/>
      <c r="D713" s="448"/>
      <c r="E713" s="448"/>
      <c r="F713" s="448"/>
    </row>
    <row r="714" ht="15.75" customHeight="1">
      <c r="B714" s="448"/>
      <c r="C714" s="448"/>
      <c r="D714" s="448"/>
      <c r="E714" s="448"/>
      <c r="F714" s="448"/>
    </row>
    <row r="715" ht="15.75" customHeight="1">
      <c r="B715" s="448"/>
      <c r="C715" s="448"/>
      <c r="D715" s="448"/>
      <c r="E715" s="448"/>
      <c r="F715" s="448"/>
    </row>
    <row r="716" ht="15.75" customHeight="1">
      <c r="B716" s="448"/>
      <c r="C716" s="448"/>
      <c r="D716" s="448"/>
      <c r="E716" s="448"/>
      <c r="F716" s="448"/>
    </row>
    <row r="717" ht="15.75" customHeight="1">
      <c r="B717" s="448"/>
      <c r="C717" s="448"/>
      <c r="D717" s="448"/>
      <c r="E717" s="448"/>
      <c r="F717" s="448"/>
    </row>
    <row r="718" ht="15.75" customHeight="1">
      <c r="B718" s="448"/>
      <c r="C718" s="448"/>
      <c r="D718" s="448"/>
      <c r="E718" s="448"/>
      <c r="F718" s="448"/>
    </row>
    <row r="719" ht="15.75" customHeight="1">
      <c r="B719" s="448"/>
      <c r="C719" s="448"/>
      <c r="D719" s="448"/>
      <c r="E719" s="448"/>
      <c r="F719" s="448"/>
    </row>
    <row r="720" ht="15.75" customHeight="1">
      <c r="B720" s="448"/>
      <c r="C720" s="448"/>
      <c r="D720" s="448"/>
      <c r="E720" s="448"/>
      <c r="F720" s="448"/>
    </row>
    <row r="721" ht="15.75" customHeight="1">
      <c r="B721" s="448"/>
      <c r="C721" s="448"/>
      <c r="D721" s="448"/>
      <c r="E721" s="448"/>
      <c r="F721" s="448"/>
    </row>
    <row r="722" ht="15.75" customHeight="1">
      <c r="B722" s="448"/>
      <c r="C722" s="448"/>
      <c r="D722" s="448"/>
      <c r="E722" s="448"/>
      <c r="F722" s="448"/>
    </row>
    <row r="723" ht="15.75" customHeight="1">
      <c r="B723" s="448"/>
      <c r="C723" s="448"/>
      <c r="D723" s="448"/>
      <c r="E723" s="448"/>
      <c r="F723" s="448"/>
    </row>
    <row r="724" ht="15.75" customHeight="1">
      <c r="B724" s="448"/>
      <c r="C724" s="448"/>
      <c r="D724" s="448"/>
      <c r="E724" s="448"/>
      <c r="F724" s="448"/>
    </row>
    <row r="725" ht="15.75" customHeight="1">
      <c r="B725" s="448"/>
      <c r="C725" s="448"/>
      <c r="D725" s="448"/>
      <c r="E725" s="448"/>
      <c r="F725" s="448"/>
    </row>
    <row r="726" ht="15.75" customHeight="1">
      <c r="B726" s="448"/>
      <c r="C726" s="448"/>
      <c r="D726" s="448"/>
      <c r="E726" s="448"/>
      <c r="F726" s="448"/>
    </row>
    <row r="727" ht="15.75" customHeight="1">
      <c r="B727" s="448"/>
      <c r="C727" s="448"/>
      <c r="D727" s="448"/>
      <c r="E727" s="448"/>
      <c r="F727" s="448"/>
    </row>
    <row r="728" ht="15.75" customHeight="1">
      <c r="B728" s="448"/>
      <c r="C728" s="448"/>
      <c r="D728" s="448"/>
      <c r="E728" s="448"/>
      <c r="F728" s="448"/>
    </row>
    <row r="729" ht="15.75" customHeight="1">
      <c r="B729" s="448"/>
      <c r="C729" s="448"/>
      <c r="D729" s="448"/>
      <c r="E729" s="448"/>
      <c r="F729" s="448"/>
    </row>
    <row r="730" ht="15.75" customHeight="1">
      <c r="B730" s="448"/>
      <c r="C730" s="448"/>
      <c r="D730" s="448"/>
      <c r="E730" s="448"/>
      <c r="F730" s="448"/>
    </row>
    <row r="731" ht="15.75" customHeight="1">
      <c r="B731" s="448"/>
      <c r="C731" s="448"/>
      <c r="D731" s="448"/>
      <c r="E731" s="448"/>
      <c r="F731" s="448"/>
    </row>
    <row r="732" ht="15.75" customHeight="1">
      <c r="B732" s="448"/>
      <c r="C732" s="448"/>
      <c r="D732" s="448"/>
      <c r="E732" s="448"/>
      <c r="F732" s="448"/>
    </row>
    <row r="733" ht="15.75" customHeight="1">
      <c r="B733" s="448"/>
      <c r="C733" s="448"/>
      <c r="D733" s="448"/>
      <c r="E733" s="448"/>
      <c r="F733" s="448"/>
    </row>
    <row r="734" ht="15.75" customHeight="1">
      <c r="B734" s="448"/>
      <c r="C734" s="448"/>
      <c r="D734" s="448"/>
      <c r="E734" s="448"/>
      <c r="F734" s="448"/>
    </row>
    <row r="735" ht="15.75" customHeight="1">
      <c r="B735" s="448"/>
      <c r="C735" s="448"/>
      <c r="D735" s="448"/>
      <c r="E735" s="448"/>
      <c r="F735" s="448"/>
    </row>
    <row r="736" ht="15.75" customHeight="1">
      <c r="B736" s="448"/>
      <c r="C736" s="448"/>
      <c r="D736" s="448"/>
      <c r="E736" s="448"/>
      <c r="F736" s="448"/>
    </row>
    <row r="737" ht="15.75" customHeight="1">
      <c r="B737" s="448"/>
      <c r="C737" s="448"/>
      <c r="D737" s="448"/>
      <c r="E737" s="448"/>
      <c r="F737" s="448"/>
    </row>
    <row r="738" ht="15.75" customHeight="1">
      <c r="B738" s="448"/>
      <c r="C738" s="448"/>
      <c r="D738" s="448"/>
      <c r="E738" s="448"/>
      <c r="F738" s="448"/>
    </row>
    <row r="739" ht="15.75" customHeight="1">
      <c r="B739" s="448"/>
      <c r="C739" s="448"/>
      <c r="D739" s="448"/>
      <c r="E739" s="448"/>
      <c r="F739" s="448"/>
    </row>
    <row r="740" ht="15.75" customHeight="1">
      <c r="B740" s="448"/>
      <c r="C740" s="448"/>
      <c r="D740" s="448"/>
      <c r="E740" s="448"/>
      <c r="F740" s="448"/>
    </row>
    <row r="741" ht="15.75" customHeight="1">
      <c r="B741" s="448"/>
      <c r="C741" s="448"/>
      <c r="D741" s="448"/>
      <c r="E741" s="448"/>
      <c r="F741" s="448"/>
    </row>
    <row r="742" ht="15.75" customHeight="1">
      <c r="B742" s="448"/>
      <c r="C742" s="448"/>
      <c r="D742" s="448"/>
      <c r="E742" s="448"/>
      <c r="F742" s="448"/>
    </row>
    <row r="743" ht="15.75" customHeight="1">
      <c r="B743" s="448"/>
      <c r="C743" s="448"/>
      <c r="D743" s="448"/>
      <c r="E743" s="448"/>
      <c r="F743" s="448"/>
    </row>
    <row r="744" ht="15.75" customHeight="1">
      <c r="B744" s="448"/>
      <c r="C744" s="448"/>
      <c r="D744" s="448"/>
      <c r="E744" s="448"/>
      <c r="F744" s="448"/>
    </row>
    <row r="745" ht="15.75" customHeight="1">
      <c r="B745" s="448"/>
      <c r="C745" s="448"/>
      <c r="D745" s="448"/>
      <c r="E745" s="448"/>
      <c r="F745" s="448"/>
    </row>
    <row r="746" ht="15.75" customHeight="1">
      <c r="B746" s="448"/>
      <c r="C746" s="448"/>
      <c r="D746" s="448"/>
      <c r="E746" s="448"/>
      <c r="F746" s="448"/>
    </row>
    <row r="747" ht="15.75" customHeight="1">
      <c r="B747" s="448"/>
      <c r="C747" s="448"/>
      <c r="D747" s="448"/>
      <c r="E747" s="448"/>
      <c r="F747" s="448"/>
    </row>
    <row r="748" ht="15.75" customHeight="1">
      <c r="B748" s="448"/>
      <c r="C748" s="448"/>
      <c r="D748" s="448"/>
      <c r="E748" s="448"/>
      <c r="F748" s="448"/>
    </row>
    <row r="749" ht="15.75" customHeight="1">
      <c r="B749" s="448"/>
      <c r="C749" s="448"/>
      <c r="D749" s="448"/>
      <c r="E749" s="448"/>
      <c r="F749" s="448"/>
    </row>
    <row r="750" ht="15.75" customHeight="1">
      <c r="B750" s="448"/>
      <c r="C750" s="448"/>
      <c r="D750" s="448"/>
      <c r="E750" s="448"/>
      <c r="F750" s="448"/>
    </row>
    <row r="751" ht="15.75" customHeight="1">
      <c r="B751" s="448"/>
      <c r="C751" s="448"/>
      <c r="D751" s="448"/>
      <c r="E751" s="448"/>
      <c r="F751" s="448"/>
    </row>
    <row r="752" ht="15.75" customHeight="1">
      <c r="B752" s="448"/>
      <c r="C752" s="448"/>
      <c r="D752" s="448"/>
      <c r="E752" s="448"/>
      <c r="F752" s="448"/>
    </row>
    <row r="753" ht="15.75" customHeight="1">
      <c r="B753" s="448"/>
      <c r="C753" s="448"/>
      <c r="D753" s="448"/>
      <c r="E753" s="448"/>
      <c r="F753" s="448"/>
    </row>
    <row r="754" ht="15.75" customHeight="1">
      <c r="B754" s="448"/>
      <c r="C754" s="448"/>
      <c r="D754" s="448"/>
      <c r="E754" s="448"/>
      <c r="F754" s="448"/>
    </row>
    <row r="755" ht="15.75" customHeight="1">
      <c r="B755" s="448"/>
      <c r="C755" s="448"/>
      <c r="D755" s="448"/>
      <c r="E755" s="448"/>
      <c r="F755" s="448"/>
    </row>
    <row r="756" ht="15.75" customHeight="1">
      <c r="B756" s="448"/>
      <c r="C756" s="448"/>
      <c r="D756" s="448"/>
      <c r="E756" s="448"/>
      <c r="F756" s="448"/>
    </row>
    <row r="757" ht="15.75" customHeight="1">
      <c r="B757" s="448"/>
      <c r="C757" s="448"/>
      <c r="D757" s="448"/>
      <c r="E757" s="448"/>
      <c r="F757" s="448"/>
    </row>
    <row r="758" ht="15.75" customHeight="1">
      <c r="B758" s="448"/>
      <c r="C758" s="448"/>
      <c r="D758" s="448"/>
      <c r="E758" s="448"/>
      <c r="F758" s="448"/>
    </row>
    <row r="759" ht="15.75" customHeight="1">
      <c r="B759" s="448"/>
      <c r="C759" s="448"/>
      <c r="D759" s="448"/>
      <c r="E759" s="448"/>
      <c r="F759" s="448"/>
    </row>
    <row r="760" ht="15.75" customHeight="1">
      <c r="B760" s="448"/>
      <c r="C760" s="448"/>
      <c r="D760" s="448"/>
      <c r="E760" s="448"/>
      <c r="F760" s="448"/>
    </row>
    <row r="761" ht="15.75" customHeight="1">
      <c r="B761" s="448"/>
      <c r="C761" s="448"/>
      <c r="D761" s="448"/>
      <c r="E761" s="448"/>
      <c r="F761" s="448"/>
    </row>
    <row r="762" ht="15.75" customHeight="1">
      <c r="B762" s="448"/>
      <c r="C762" s="448"/>
      <c r="D762" s="448"/>
      <c r="E762" s="448"/>
      <c r="F762" s="448"/>
    </row>
    <row r="763" ht="15.75" customHeight="1">
      <c r="B763" s="448"/>
      <c r="C763" s="448"/>
      <c r="D763" s="448"/>
      <c r="E763" s="448"/>
      <c r="F763" s="448"/>
    </row>
    <row r="764" ht="15.75" customHeight="1">
      <c r="B764" s="448"/>
      <c r="C764" s="448"/>
      <c r="D764" s="448"/>
      <c r="E764" s="448"/>
      <c r="F764" s="448"/>
    </row>
    <row r="765" ht="15.75" customHeight="1">
      <c r="B765" s="448"/>
      <c r="C765" s="448"/>
      <c r="D765" s="448"/>
      <c r="E765" s="448"/>
      <c r="F765" s="448"/>
    </row>
    <row r="766" ht="15.75" customHeight="1">
      <c r="B766" s="448"/>
      <c r="C766" s="448"/>
      <c r="D766" s="448"/>
      <c r="E766" s="448"/>
      <c r="F766" s="448"/>
    </row>
    <row r="767" ht="15.75" customHeight="1">
      <c r="B767" s="448"/>
      <c r="C767" s="448"/>
      <c r="D767" s="448"/>
      <c r="E767" s="448"/>
      <c r="F767" s="448"/>
    </row>
    <row r="768" ht="15.75" customHeight="1">
      <c r="B768" s="448"/>
      <c r="C768" s="448"/>
      <c r="D768" s="448"/>
      <c r="E768" s="448"/>
      <c r="F768" s="448"/>
    </row>
    <row r="769" ht="15.75" customHeight="1">
      <c r="B769" s="448"/>
      <c r="C769" s="448"/>
      <c r="D769" s="448"/>
      <c r="E769" s="448"/>
      <c r="F769" s="448"/>
    </row>
    <row r="770" ht="15.75" customHeight="1">
      <c r="B770" s="448"/>
      <c r="C770" s="448"/>
      <c r="D770" s="448"/>
      <c r="E770" s="448"/>
      <c r="F770" s="448"/>
    </row>
    <row r="771" ht="15.75" customHeight="1">
      <c r="B771" s="448"/>
      <c r="C771" s="448"/>
      <c r="D771" s="448"/>
      <c r="E771" s="448"/>
      <c r="F771" s="448"/>
    </row>
    <row r="772" ht="15.75" customHeight="1">
      <c r="B772" s="448"/>
      <c r="C772" s="448"/>
      <c r="D772" s="448"/>
      <c r="E772" s="448"/>
      <c r="F772" s="448"/>
    </row>
    <row r="773" ht="15.75" customHeight="1">
      <c r="B773" s="448"/>
      <c r="C773" s="448"/>
      <c r="D773" s="448"/>
      <c r="E773" s="448"/>
      <c r="F773" s="448"/>
    </row>
    <row r="774" ht="15.75" customHeight="1">
      <c r="B774" s="448"/>
      <c r="C774" s="448"/>
      <c r="D774" s="448"/>
      <c r="E774" s="448"/>
      <c r="F774" s="448"/>
    </row>
    <row r="775" ht="15.75" customHeight="1">
      <c r="B775" s="448"/>
      <c r="C775" s="448"/>
      <c r="D775" s="448"/>
      <c r="E775" s="448"/>
      <c r="F775" s="448"/>
    </row>
    <row r="776" ht="15.75" customHeight="1">
      <c r="B776" s="448"/>
      <c r="C776" s="448"/>
      <c r="D776" s="448"/>
      <c r="E776" s="448"/>
      <c r="F776" s="448"/>
    </row>
    <row r="777" ht="15.75" customHeight="1">
      <c r="B777" s="448"/>
      <c r="C777" s="448"/>
      <c r="D777" s="448"/>
      <c r="E777" s="448"/>
      <c r="F777" s="448"/>
    </row>
    <row r="778" ht="15.75" customHeight="1">
      <c r="B778" s="448"/>
      <c r="C778" s="448"/>
      <c r="D778" s="448"/>
      <c r="E778" s="448"/>
      <c r="F778" s="448"/>
    </row>
    <row r="779" ht="15.75" customHeight="1">
      <c r="B779" s="448"/>
      <c r="C779" s="448"/>
      <c r="D779" s="448"/>
      <c r="E779" s="448"/>
      <c r="F779" s="448"/>
    </row>
    <row r="780" ht="15.75" customHeight="1">
      <c r="B780" s="448"/>
      <c r="C780" s="448"/>
      <c r="D780" s="448"/>
      <c r="E780" s="448"/>
      <c r="F780" s="448"/>
    </row>
    <row r="781" ht="15.75" customHeight="1">
      <c r="B781" s="448"/>
      <c r="C781" s="448"/>
      <c r="D781" s="448"/>
      <c r="E781" s="448"/>
      <c r="F781" s="448"/>
    </row>
    <row r="782" ht="15.75" customHeight="1">
      <c r="B782" s="448"/>
      <c r="C782" s="448"/>
      <c r="D782" s="448"/>
      <c r="E782" s="448"/>
      <c r="F782" s="448"/>
    </row>
    <row r="783" ht="15.75" customHeight="1">
      <c r="B783" s="448"/>
      <c r="C783" s="448"/>
      <c r="D783" s="448"/>
      <c r="E783" s="448"/>
      <c r="F783" s="448"/>
    </row>
    <row r="784" ht="15.75" customHeight="1">
      <c r="B784" s="448"/>
      <c r="C784" s="448"/>
      <c r="D784" s="448"/>
      <c r="E784" s="448"/>
      <c r="F784" s="448"/>
    </row>
    <row r="785" ht="15.75" customHeight="1">
      <c r="B785" s="448"/>
      <c r="C785" s="448"/>
      <c r="D785" s="448"/>
      <c r="E785" s="448"/>
      <c r="F785" s="448"/>
    </row>
    <row r="786" ht="15.75" customHeight="1">
      <c r="B786" s="448"/>
      <c r="C786" s="448"/>
      <c r="D786" s="448"/>
      <c r="E786" s="448"/>
      <c r="F786" s="448"/>
    </row>
    <row r="787" ht="15.75" customHeight="1">
      <c r="B787" s="448"/>
      <c r="C787" s="448"/>
      <c r="D787" s="448"/>
      <c r="E787" s="448"/>
      <c r="F787" s="448"/>
    </row>
    <row r="788" ht="15.75" customHeight="1">
      <c r="B788" s="448"/>
      <c r="C788" s="448"/>
      <c r="D788" s="448"/>
      <c r="E788" s="448"/>
      <c r="F788" s="448"/>
    </row>
    <row r="789" ht="15.75" customHeight="1">
      <c r="B789" s="448"/>
      <c r="C789" s="448"/>
      <c r="D789" s="448"/>
      <c r="E789" s="448"/>
      <c r="F789" s="448"/>
    </row>
    <row r="790" ht="15.75" customHeight="1">
      <c r="B790" s="448"/>
      <c r="C790" s="448"/>
      <c r="D790" s="448"/>
      <c r="E790" s="448"/>
      <c r="F790" s="448"/>
    </row>
    <row r="791" ht="15.75" customHeight="1">
      <c r="B791" s="448"/>
      <c r="C791" s="448"/>
      <c r="D791" s="448"/>
      <c r="E791" s="448"/>
      <c r="F791" s="448"/>
    </row>
    <row r="792" ht="15.75" customHeight="1">
      <c r="B792" s="448"/>
      <c r="C792" s="448"/>
      <c r="D792" s="448"/>
      <c r="E792" s="448"/>
      <c r="F792" s="448"/>
    </row>
    <row r="793" ht="15.75" customHeight="1">
      <c r="B793" s="448"/>
      <c r="C793" s="448"/>
      <c r="D793" s="448"/>
      <c r="E793" s="448"/>
      <c r="F793" s="448"/>
    </row>
    <row r="794" ht="15.75" customHeight="1">
      <c r="B794" s="448"/>
      <c r="C794" s="448"/>
      <c r="D794" s="448"/>
      <c r="E794" s="448"/>
      <c r="F794" s="448"/>
    </row>
    <row r="795" ht="15.75" customHeight="1">
      <c r="B795" s="448"/>
      <c r="C795" s="448"/>
      <c r="D795" s="448"/>
      <c r="E795" s="448"/>
      <c r="F795" s="448"/>
    </row>
    <row r="796" ht="15.75" customHeight="1">
      <c r="B796" s="448"/>
      <c r="C796" s="448"/>
      <c r="D796" s="448"/>
      <c r="E796" s="448"/>
      <c r="F796" s="448"/>
    </row>
    <row r="797" ht="15.75" customHeight="1">
      <c r="B797" s="448"/>
      <c r="C797" s="448"/>
      <c r="D797" s="448"/>
      <c r="E797" s="448"/>
      <c r="F797" s="448"/>
    </row>
    <row r="798" ht="15.75" customHeight="1">
      <c r="B798" s="448"/>
      <c r="C798" s="448"/>
      <c r="D798" s="448"/>
      <c r="E798" s="448"/>
      <c r="F798" s="448"/>
    </row>
    <row r="799" ht="15.75" customHeight="1">
      <c r="B799" s="448"/>
      <c r="C799" s="448"/>
      <c r="D799" s="448"/>
      <c r="E799" s="448"/>
      <c r="F799" s="448"/>
    </row>
    <row r="800" ht="15.75" customHeight="1">
      <c r="B800" s="448"/>
      <c r="C800" s="448"/>
      <c r="D800" s="448"/>
      <c r="E800" s="448"/>
      <c r="F800" s="448"/>
    </row>
    <row r="801" ht="15.75" customHeight="1">
      <c r="B801" s="448"/>
      <c r="C801" s="448"/>
      <c r="D801" s="448"/>
      <c r="E801" s="448"/>
      <c r="F801" s="448"/>
    </row>
    <row r="802" ht="15.75" customHeight="1">
      <c r="B802" s="448"/>
      <c r="C802" s="448"/>
      <c r="D802" s="448"/>
      <c r="E802" s="448"/>
      <c r="F802" s="448"/>
    </row>
    <row r="803" ht="15.75" customHeight="1">
      <c r="B803" s="448"/>
      <c r="C803" s="448"/>
      <c r="D803" s="448"/>
      <c r="E803" s="448"/>
      <c r="F803" s="448"/>
    </row>
    <row r="804" ht="15.75" customHeight="1">
      <c r="B804" s="448"/>
      <c r="C804" s="448"/>
      <c r="D804" s="448"/>
      <c r="E804" s="448"/>
      <c r="F804" s="448"/>
    </row>
    <row r="805" ht="15.75" customHeight="1">
      <c r="B805" s="448"/>
      <c r="C805" s="448"/>
      <c r="D805" s="448"/>
      <c r="E805" s="448"/>
      <c r="F805" s="448"/>
    </row>
    <row r="806" ht="15.75" customHeight="1">
      <c r="B806" s="448"/>
      <c r="C806" s="448"/>
      <c r="D806" s="448"/>
      <c r="E806" s="448"/>
      <c r="F806" s="448"/>
    </row>
    <row r="807" ht="15.75" customHeight="1">
      <c r="B807" s="448"/>
      <c r="C807" s="448"/>
      <c r="D807" s="448"/>
      <c r="E807" s="448"/>
      <c r="F807" s="448"/>
    </row>
    <row r="808" ht="15.75" customHeight="1">
      <c r="B808" s="448"/>
      <c r="C808" s="448"/>
      <c r="D808" s="448"/>
      <c r="E808" s="448"/>
      <c r="F808" s="448"/>
    </row>
    <row r="809" ht="15.75" customHeight="1">
      <c r="B809" s="448"/>
      <c r="C809" s="448"/>
      <c r="D809" s="448"/>
      <c r="E809" s="448"/>
      <c r="F809" s="448"/>
    </row>
    <row r="810" ht="15.75" customHeight="1">
      <c r="B810" s="448"/>
      <c r="C810" s="448"/>
      <c r="D810" s="448"/>
      <c r="E810" s="448"/>
      <c r="F810" s="448"/>
    </row>
    <row r="811" ht="15.75" customHeight="1">
      <c r="B811" s="448"/>
      <c r="C811" s="448"/>
      <c r="D811" s="448"/>
      <c r="E811" s="448"/>
      <c r="F811" s="448"/>
    </row>
    <row r="812" ht="15.75" customHeight="1">
      <c r="B812" s="448"/>
      <c r="C812" s="448"/>
      <c r="D812" s="448"/>
      <c r="E812" s="448"/>
      <c r="F812" s="448"/>
    </row>
    <row r="813" ht="15.75" customHeight="1">
      <c r="B813" s="448"/>
      <c r="C813" s="448"/>
      <c r="D813" s="448"/>
      <c r="E813" s="448"/>
      <c r="F813" s="448"/>
    </row>
    <row r="814" ht="15.75" customHeight="1">
      <c r="B814" s="448"/>
      <c r="C814" s="448"/>
      <c r="D814" s="448"/>
      <c r="E814" s="448"/>
      <c r="F814" s="448"/>
    </row>
    <row r="815" ht="15.75" customHeight="1">
      <c r="B815" s="448"/>
      <c r="C815" s="448"/>
      <c r="D815" s="448"/>
      <c r="E815" s="448"/>
      <c r="F815" s="448"/>
    </row>
    <row r="816" ht="15.75" customHeight="1">
      <c r="B816" s="448"/>
      <c r="C816" s="448"/>
      <c r="D816" s="448"/>
      <c r="E816" s="448"/>
      <c r="F816" s="448"/>
    </row>
    <row r="817" ht="15.75" customHeight="1">
      <c r="B817" s="448"/>
      <c r="C817" s="448"/>
      <c r="D817" s="448"/>
      <c r="E817" s="448"/>
      <c r="F817" s="448"/>
    </row>
    <row r="818" ht="15.75" customHeight="1">
      <c r="B818" s="448"/>
      <c r="C818" s="448"/>
      <c r="D818" s="448"/>
      <c r="E818" s="448"/>
      <c r="F818" s="448"/>
    </row>
    <row r="819" ht="15.75" customHeight="1">
      <c r="B819" s="448"/>
      <c r="C819" s="448"/>
      <c r="D819" s="448"/>
      <c r="E819" s="448"/>
      <c r="F819" s="448"/>
    </row>
    <row r="820" ht="15.75" customHeight="1">
      <c r="B820" s="448"/>
      <c r="C820" s="448"/>
      <c r="D820" s="448"/>
      <c r="E820" s="448"/>
      <c r="F820" s="448"/>
    </row>
    <row r="821" ht="15.75" customHeight="1">
      <c r="B821" s="448"/>
      <c r="C821" s="448"/>
      <c r="D821" s="448"/>
      <c r="E821" s="448"/>
      <c r="F821" s="448"/>
    </row>
    <row r="822" ht="15.75" customHeight="1">
      <c r="B822" s="448"/>
      <c r="C822" s="448"/>
      <c r="D822" s="448"/>
      <c r="E822" s="448"/>
      <c r="F822" s="448"/>
    </row>
    <row r="823" ht="15.75" customHeight="1">
      <c r="B823" s="448"/>
      <c r="C823" s="448"/>
      <c r="D823" s="448"/>
      <c r="E823" s="448"/>
      <c r="F823" s="448"/>
    </row>
    <row r="824" ht="15.75" customHeight="1">
      <c r="B824" s="448"/>
      <c r="C824" s="448"/>
      <c r="D824" s="448"/>
      <c r="E824" s="448"/>
      <c r="F824" s="448"/>
    </row>
    <row r="825" ht="15.75" customHeight="1">
      <c r="B825" s="448"/>
      <c r="C825" s="448"/>
      <c r="D825" s="448"/>
      <c r="E825" s="448"/>
      <c r="F825" s="448"/>
    </row>
    <row r="826" ht="15.75" customHeight="1">
      <c r="B826" s="448"/>
      <c r="C826" s="448"/>
      <c r="D826" s="448"/>
      <c r="E826" s="448"/>
      <c r="F826" s="448"/>
    </row>
    <row r="827" ht="15.75" customHeight="1">
      <c r="B827" s="448"/>
      <c r="C827" s="448"/>
      <c r="D827" s="448"/>
      <c r="E827" s="448"/>
      <c r="F827" s="448"/>
    </row>
    <row r="828" ht="15.75" customHeight="1">
      <c r="B828" s="448"/>
      <c r="C828" s="448"/>
      <c r="D828" s="448"/>
      <c r="E828" s="448"/>
      <c r="F828" s="448"/>
    </row>
    <row r="829" ht="15.75" customHeight="1">
      <c r="B829" s="448"/>
      <c r="C829" s="448"/>
      <c r="D829" s="448"/>
      <c r="E829" s="448"/>
      <c r="F829" s="448"/>
    </row>
    <row r="830" ht="15.75" customHeight="1">
      <c r="B830" s="448"/>
      <c r="C830" s="448"/>
      <c r="D830" s="448"/>
      <c r="E830" s="448"/>
      <c r="F830" s="448"/>
    </row>
    <row r="831" ht="15.75" customHeight="1">
      <c r="B831" s="448"/>
      <c r="C831" s="448"/>
      <c r="D831" s="448"/>
      <c r="E831" s="448"/>
      <c r="F831" s="448"/>
    </row>
    <row r="832" ht="15.75" customHeight="1">
      <c r="B832" s="448"/>
      <c r="C832" s="448"/>
      <c r="D832" s="448"/>
      <c r="E832" s="448"/>
      <c r="F832" s="448"/>
    </row>
    <row r="833" ht="15.75" customHeight="1">
      <c r="B833" s="448"/>
      <c r="C833" s="448"/>
      <c r="D833" s="448"/>
      <c r="E833" s="448"/>
      <c r="F833" s="448"/>
    </row>
    <row r="834" ht="15.75" customHeight="1">
      <c r="B834" s="448"/>
      <c r="C834" s="448"/>
      <c r="D834" s="448"/>
      <c r="E834" s="448"/>
      <c r="F834" s="448"/>
    </row>
    <row r="835" ht="15.75" customHeight="1">
      <c r="B835" s="448"/>
      <c r="C835" s="448"/>
      <c r="D835" s="448"/>
      <c r="E835" s="448"/>
      <c r="F835" s="448"/>
    </row>
    <row r="836" ht="15.75" customHeight="1">
      <c r="B836" s="448"/>
      <c r="C836" s="448"/>
      <c r="D836" s="448"/>
      <c r="E836" s="448"/>
      <c r="F836" s="448"/>
    </row>
    <row r="837" ht="15.75" customHeight="1">
      <c r="B837" s="448"/>
      <c r="C837" s="448"/>
      <c r="D837" s="448"/>
      <c r="E837" s="448"/>
      <c r="F837" s="448"/>
    </row>
    <row r="838" ht="15.75" customHeight="1">
      <c r="B838" s="448"/>
      <c r="C838" s="448"/>
      <c r="D838" s="448"/>
      <c r="E838" s="448"/>
      <c r="F838" s="448"/>
    </row>
    <row r="839" ht="15.75" customHeight="1">
      <c r="B839" s="448"/>
      <c r="C839" s="448"/>
      <c r="D839" s="448"/>
      <c r="E839" s="448"/>
      <c r="F839" s="448"/>
    </row>
    <row r="840" ht="15.75" customHeight="1">
      <c r="B840" s="448"/>
      <c r="C840" s="448"/>
      <c r="D840" s="448"/>
      <c r="E840" s="448"/>
      <c r="F840" s="448"/>
    </row>
    <row r="841" ht="15.75" customHeight="1">
      <c r="B841" s="448"/>
      <c r="C841" s="448"/>
      <c r="D841" s="448"/>
      <c r="E841" s="448"/>
      <c r="F841" s="448"/>
    </row>
    <row r="842" ht="15.75" customHeight="1">
      <c r="B842" s="448"/>
      <c r="C842" s="448"/>
      <c r="D842" s="448"/>
      <c r="E842" s="448"/>
      <c r="F842" s="448"/>
    </row>
    <row r="843" ht="15.75" customHeight="1">
      <c r="B843" s="448"/>
      <c r="C843" s="448"/>
      <c r="D843" s="448"/>
      <c r="E843" s="448"/>
      <c r="F843" s="448"/>
    </row>
    <row r="844" ht="15.75" customHeight="1">
      <c r="B844" s="448"/>
      <c r="C844" s="448"/>
      <c r="D844" s="448"/>
      <c r="E844" s="448"/>
      <c r="F844" s="448"/>
    </row>
    <row r="845" ht="15.75" customHeight="1">
      <c r="B845" s="448"/>
      <c r="C845" s="448"/>
      <c r="D845" s="448"/>
      <c r="E845" s="448"/>
      <c r="F845" s="448"/>
    </row>
    <row r="846" ht="15.75" customHeight="1">
      <c r="B846" s="448"/>
      <c r="C846" s="448"/>
      <c r="D846" s="448"/>
      <c r="E846" s="448"/>
      <c r="F846" s="448"/>
    </row>
    <row r="847" ht="15.75" customHeight="1">
      <c r="B847" s="448"/>
      <c r="C847" s="448"/>
      <c r="D847" s="448"/>
      <c r="E847" s="448"/>
      <c r="F847" s="448"/>
    </row>
    <row r="848" ht="15.75" customHeight="1">
      <c r="B848" s="448"/>
      <c r="C848" s="448"/>
      <c r="D848" s="448"/>
      <c r="E848" s="448"/>
      <c r="F848" s="448"/>
    </row>
    <row r="849" ht="15.75" customHeight="1">
      <c r="B849" s="448"/>
      <c r="C849" s="448"/>
      <c r="D849" s="448"/>
      <c r="E849" s="448"/>
      <c r="F849" s="448"/>
    </row>
    <row r="850" ht="15.75" customHeight="1">
      <c r="B850" s="448"/>
      <c r="C850" s="448"/>
      <c r="D850" s="448"/>
      <c r="E850" s="448"/>
      <c r="F850" s="448"/>
    </row>
    <row r="851" ht="15.75" customHeight="1">
      <c r="B851" s="448"/>
      <c r="C851" s="448"/>
      <c r="D851" s="448"/>
      <c r="E851" s="448"/>
      <c r="F851" s="448"/>
    </row>
    <row r="852" ht="15.75" customHeight="1">
      <c r="B852" s="448"/>
      <c r="C852" s="448"/>
      <c r="D852" s="448"/>
      <c r="E852" s="448"/>
      <c r="F852" s="448"/>
    </row>
    <row r="853" ht="15.75" customHeight="1">
      <c r="B853" s="448"/>
      <c r="C853" s="448"/>
      <c r="D853" s="448"/>
      <c r="E853" s="448"/>
      <c r="F853" s="448"/>
    </row>
    <row r="854" ht="15.75" customHeight="1">
      <c r="B854" s="448"/>
      <c r="C854" s="448"/>
      <c r="D854" s="448"/>
      <c r="E854" s="448"/>
      <c r="F854" s="448"/>
    </row>
    <row r="855" ht="15.75" customHeight="1">
      <c r="B855" s="448"/>
      <c r="C855" s="448"/>
      <c r="D855" s="448"/>
      <c r="E855" s="448"/>
      <c r="F855" s="448"/>
    </row>
    <row r="856" ht="15.75" customHeight="1">
      <c r="B856" s="448"/>
      <c r="C856" s="448"/>
      <c r="D856" s="448"/>
      <c r="E856" s="448"/>
      <c r="F856" s="448"/>
    </row>
    <row r="857" ht="15.75" customHeight="1">
      <c r="B857" s="448"/>
      <c r="C857" s="448"/>
      <c r="D857" s="448"/>
      <c r="E857" s="448"/>
      <c r="F857" s="448"/>
    </row>
    <row r="858" ht="15.75" customHeight="1">
      <c r="B858" s="448"/>
      <c r="C858" s="448"/>
      <c r="D858" s="448"/>
      <c r="E858" s="448"/>
      <c r="F858" s="448"/>
    </row>
    <row r="859" ht="15.75" customHeight="1">
      <c r="B859" s="448"/>
      <c r="C859" s="448"/>
      <c r="D859" s="448"/>
      <c r="E859" s="448"/>
      <c r="F859" s="448"/>
    </row>
    <row r="860" ht="15.75" customHeight="1">
      <c r="B860" s="448"/>
      <c r="C860" s="448"/>
      <c r="D860" s="448"/>
      <c r="E860" s="448"/>
      <c r="F860" s="448"/>
    </row>
    <row r="861" ht="15.75" customHeight="1">
      <c r="B861" s="448"/>
      <c r="C861" s="448"/>
      <c r="D861" s="448"/>
      <c r="E861" s="448"/>
      <c r="F861" s="448"/>
    </row>
    <row r="862" ht="15.75" customHeight="1">
      <c r="B862" s="448"/>
      <c r="C862" s="448"/>
      <c r="D862" s="448"/>
      <c r="E862" s="448"/>
      <c r="F862" s="448"/>
    </row>
    <row r="863" ht="15.75" customHeight="1">
      <c r="B863" s="448"/>
      <c r="C863" s="448"/>
      <c r="D863" s="448"/>
      <c r="E863" s="448"/>
      <c r="F863" s="448"/>
    </row>
    <row r="864" ht="15.75" customHeight="1">
      <c r="B864" s="448"/>
      <c r="C864" s="448"/>
      <c r="D864" s="448"/>
      <c r="E864" s="448"/>
      <c r="F864" s="448"/>
    </row>
    <row r="865" ht="15.75" customHeight="1">
      <c r="B865" s="448"/>
      <c r="C865" s="448"/>
      <c r="D865" s="448"/>
      <c r="E865" s="448"/>
      <c r="F865" s="448"/>
    </row>
    <row r="866" ht="15.75" customHeight="1">
      <c r="B866" s="448"/>
      <c r="C866" s="448"/>
      <c r="D866" s="448"/>
      <c r="E866" s="448"/>
      <c r="F866" s="448"/>
    </row>
    <row r="867" ht="15.75" customHeight="1">
      <c r="B867" s="448"/>
      <c r="C867" s="448"/>
      <c r="D867" s="448"/>
      <c r="E867" s="448"/>
      <c r="F867" s="448"/>
    </row>
    <row r="868" ht="15.75" customHeight="1">
      <c r="B868" s="448"/>
      <c r="C868" s="448"/>
      <c r="D868" s="448"/>
      <c r="E868" s="448"/>
      <c r="F868" s="448"/>
    </row>
    <row r="869" ht="15.75" customHeight="1">
      <c r="B869" s="448"/>
      <c r="C869" s="448"/>
      <c r="D869" s="448"/>
      <c r="E869" s="448"/>
      <c r="F869" s="448"/>
    </row>
    <row r="870" ht="15.75" customHeight="1">
      <c r="B870" s="448"/>
      <c r="C870" s="448"/>
      <c r="D870" s="448"/>
      <c r="E870" s="448"/>
      <c r="F870" s="448"/>
    </row>
    <row r="871" ht="15.75" customHeight="1">
      <c r="B871" s="448"/>
      <c r="C871" s="448"/>
      <c r="D871" s="448"/>
      <c r="E871" s="448"/>
      <c r="F871" s="448"/>
    </row>
    <row r="872" ht="15.75" customHeight="1">
      <c r="B872" s="448"/>
      <c r="C872" s="448"/>
      <c r="D872" s="448"/>
      <c r="E872" s="448"/>
      <c r="F872" s="448"/>
    </row>
    <row r="873" ht="15.75" customHeight="1">
      <c r="B873" s="448"/>
      <c r="C873" s="448"/>
      <c r="D873" s="448"/>
      <c r="E873" s="448"/>
      <c r="F873" s="448"/>
    </row>
    <row r="874" ht="15.75" customHeight="1">
      <c r="B874" s="448"/>
      <c r="C874" s="448"/>
      <c r="D874" s="448"/>
      <c r="E874" s="448"/>
      <c r="F874" s="448"/>
    </row>
    <row r="875" ht="15.75" customHeight="1">
      <c r="B875" s="448"/>
      <c r="C875" s="448"/>
      <c r="D875" s="448"/>
      <c r="E875" s="448"/>
      <c r="F875" s="448"/>
    </row>
    <row r="876" ht="15.75" customHeight="1">
      <c r="B876" s="448"/>
      <c r="C876" s="448"/>
      <c r="D876" s="448"/>
      <c r="E876" s="448"/>
      <c r="F876" s="448"/>
    </row>
    <row r="877" ht="15.75" customHeight="1">
      <c r="B877" s="448"/>
      <c r="C877" s="448"/>
      <c r="D877" s="448"/>
      <c r="E877" s="448"/>
      <c r="F877" s="448"/>
    </row>
    <row r="878" ht="15.75" customHeight="1">
      <c r="B878" s="448"/>
      <c r="C878" s="448"/>
      <c r="D878" s="448"/>
      <c r="E878" s="448"/>
      <c r="F878" s="448"/>
    </row>
    <row r="879" ht="15.75" customHeight="1">
      <c r="B879" s="448"/>
      <c r="C879" s="448"/>
      <c r="D879" s="448"/>
      <c r="E879" s="448"/>
      <c r="F879" s="448"/>
    </row>
    <row r="880" ht="15.75" customHeight="1">
      <c r="B880" s="448"/>
      <c r="C880" s="448"/>
      <c r="D880" s="448"/>
      <c r="E880" s="448"/>
      <c r="F880" s="448"/>
    </row>
    <row r="881" ht="15.75" customHeight="1">
      <c r="B881" s="448"/>
      <c r="C881" s="448"/>
      <c r="D881" s="448"/>
      <c r="E881" s="448"/>
      <c r="F881" s="448"/>
    </row>
    <row r="882" ht="15.75" customHeight="1">
      <c r="B882" s="448"/>
      <c r="C882" s="448"/>
      <c r="D882" s="448"/>
      <c r="E882" s="448"/>
      <c r="F882" s="448"/>
    </row>
    <row r="883" ht="15.75" customHeight="1">
      <c r="B883" s="448"/>
      <c r="C883" s="448"/>
      <c r="D883" s="448"/>
      <c r="E883" s="448"/>
      <c r="F883" s="448"/>
    </row>
    <row r="884" ht="15.75" customHeight="1">
      <c r="B884" s="448"/>
      <c r="C884" s="448"/>
      <c r="D884" s="448"/>
      <c r="E884" s="448"/>
      <c r="F884" s="448"/>
    </row>
    <row r="885" ht="15.75" customHeight="1">
      <c r="B885" s="448"/>
      <c r="C885" s="448"/>
      <c r="D885" s="448"/>
      <c r="E885" s="448"/>
      <c r="F885" s="448"/>
    </row>
    <row r="886" ht="15.75" customHeight="1">
      <c r="B886" s="448"/>
      <c r="C886" s="448"/>
      <c r="D886" s="448"/>
      <c r="E886" s="448"/>
      <c r="F886" s="448"/>
    </row>
    <row r="887" ht="15.75" customHeight="1">
      <c r="B887" s="448"/>
      <c r="C887" s="448"/>
      <c r="D887" s="448"/>
      <c r="E887" s="448"/>
      <c r="F887" s="448"/>
    </row>
    <row r="888" ht="15.75" customHeight="1">
      <c r="B888" s="448"/>
      <c r="C888" s="448"/>
      <c r="D888" s="448"/>
      <c r="E888" s="448"/>
      <c r="F888" s="448"/>
    </row>
    <row r="889" ht="15.75" customHeight="1">
      <c r="B889" s="448"/>
      <c r="C889" s="448"/>
      <c r="D889" s="448"/>
      <c r="E889" s="448"/>
      <c r="F889" s="448"/>
    </row>
    <row r="890" ht="15.75" customHeight="1">
      <c r="B890" s="448"/>
      <c r="C890" s="448"/>
      <c r="D890" s="448"/>
      <c r="E890" s="448"/>
      <c r="F890" s="448"/>
    </row>
    <row r="891" ht="15.75" customHeight="1">
      <c r="B891" s="448"/>
      <c r="C891" s="448"/>
      <c r="D891" s="448"/>
      <c r="E891" s="448"/>
      <c r="F891" s="448"/>
    </row>
    <row r="892" ht="15.75" customHeight="1">
      <c r="B892" s="448"/>
      <c r="C892" s="448"/>
      <c r="D892" s="448"/>
      <c r="E892" s="448"/>
      <c r="F892" s="448"/>
    </row>
    <row r="893" ht="15.75" customHeight="1">
      <c r="B893" s="448"/>
      <c r="C893" s="448"/>
      <c r="D893" s="448"/>
      <c r="E893" s="448"/>
      <c r="F893" s="448"/>
    </row>
    <row r="894" ht="15.75" customHeight="1">
      <c r="B894" s="448"/>
      <c r="C894" s="448"/>
      <c r="D894" s="448"/>
      <c r="E894" s="448"/>
      <c r="F894" s="448"/>
    </row>
    <row r="895" ht="15.75" customHeight="1">
      <c r="B895" s="448"/>
      <c r="C895" s="448"/>
      <c r="D895" s="448"/>
      <c r="E895" s="448"/>
      <c r="F895" s="448"/>
    </row>
    <row r="896" ht="15.75" customHeight="1">
      <c r="B896" s="448"/>
      <c r="C896" s="448"/>
      <c r="D896" s="448"/>
      <c r="E896" s="448"/>
      <c r="F896" s="448"/>
    </row>
    <row r="897" ht="15.75" customHeight="1">
      <c r="B897" s="448"/>
      <c r="C897" s="448"/>
      <c r="D897" s="448"/>
      <c r="E897" s="448"/>
      <c r="F897" s="448"/>
    </row>
    <row r="898" ht="15.75" customHeight="1">
      <c r="B898" s="448"/>
      <c r="C898" s="448"/>
      <c r="D898" s="448"/>
      <c r="E898" s="448"/>
      <c r="F898" s="448"/>
    </row>
    <row r="899" ht="15.75" customHeight="1">
      <c r="B899" s="448"/>
      <c r="C899" s="448"/>
      <c r="D899" s="448"/>
      <c r="E899" s="448"/>
      <c r="F899" s="448"/>
    </row>
    <row r="900" ht="15.75" customHeight="1">
      <c r="B900" s="448"/>
      <c r="C900" s="448"/>
      <c r="D900" s="448"/>
      <c r="E900" s="448"/>
      <c r="F900" s="448"/>
    </row>
    <row r="901" ht="15.75" customHeight="1">
      <c r="B901" s="448"/>
      <c r="C901" s="448"/>
      <c r="D901" s="448"/>
      <c r="E901" s="448"/>
      <c r="F901" s="448"/>
    </row>
    <row r="902" ht="15.75" customHeight="1">
      <c r="B902" s="448"/>
      <c r="C902" s="448"/>
      <c r="D902" s="448"/>
      <c r="E902" s="448"/>
      <c r="F902" s="448"/>
    </row>
    <row r="903" ht="15.75" customHeight="1">
      <c r="B903" s="448"/>
      <c r="C903" s="448"/>
      <c r="D903" s="448"/>
      <c r="E903" s="448"/>
      <c r="F903" s="448"/>
    </row>
    <row r="904" ht="15.75" customHeight="1">
      <c r="B904" s="448"/>
      <c r="C904" s="448"/>
      <c r="D904" s="448"/>
      <c r="E904" s="448"/>
      <c r="F904" s="448"/>
    </row>
    <row r="905" ht="15.75" customHeight="1">
      <c r="B905" s="448"/>
      <c r="C905" s="448"/>
      <c r="D905" s="448"/>
      <c r="E905" s="448"/>
      <c r="F905" s="448"/>
    </row>
    <row r="906" ht="15.75" customHeight="1">
      <c r="B906" s="448"/>
      <c r="C906" s="448"/>
      <c r="D906" s="448"/>
      <c r="E906" s="448"/>
      <c r="F906" s="448"/>
    </row>
    <row r="907" ht="15.75" customHeight="1">
      <c r="B907" s="448"/>
      <c r="C907" s="448"/>
      <c r="D907" s="448"/>
      <c r="E907" s="448"/>
      <c r="F907" s="448"/>
    </row>
    <row r="908" ht="15.75" customHeight="1">
      <c r="B908" s="448"/>
      <c r="C908" s="448"/>
      <c r="D908" s="448"/>
      <c r="E908" s="448"/>
      <c r="F908" s="448"/>
    </row>
    <row r="909" ht="15.75" customHeight="1">
      <c r="B909" s="448"/>
      <c r="C909" s="448"/>
      <c r="D909" s="448"/>
      <c r="E909" s="448"/>
      <c r="F909" s="448"/>
    </row>
    <row r="910" ht="15.75" customHeight="1">
      <c r="B910" s="448"/>
      <c r="C910" s="448"/>
      <c r="D910" s="448"/>
      <c r="E910" s="448"/>
      <c r="F910" s="448"/>
    </row>
    <row r="911" ht="15.75" customHeight="1">
      <c r="B911" s="448"/>
      <c r="C911" s="448"/>
      <c r="D911" s="448"/>
      <c r="E911" s="448"/>
      <c r="F911" s="448"/>
    </row>
    <row r="912" ht="15.75" customHeight="1">
      <c r="B912" s="448"/>
      <c r="C912" s="448"/>
      <c r="D912" s="448"/>
      <c r="E912" s="448"/>
      <c r="F912" s="448"/>
    </row>
    <row r="913" ht="15.75" customHeight="1">
      <c r="B913" s="448"/>
      <c r="C913" s="448"/>
      <c r="D913" s="448"/>
      <c r="E913" s="448"/>
      <c r="F913" s="448"/>
    </row>
    <row r="914" ht="15.75" customHeight="1">
      <c r="B914" s="448"/>
      <c r="C914" s="448"/>
      <c r="D914" s="448"/>
      <c r="E914" s="448"/>
      <c r="F914" s="448"/>
    </row>
    <row r="915" ht="15.75" customHeight="1">
      <c r="B915" s="448"/>
      <c r="C915" s="448"/>
      <c r="D915" s="448"/>
      <c r="E915" s="448"/>
      <c r="F915" s="448"/>
    </row>
    <row r="916" ht="15.75" customHeight="1">
      <c r="B916" s="448"/>
      <c r="C916" s="448"/>
      <c r="D916" s="448"/>
      <c r="E916" s="448"/>
      <c r="F916" s="448"/>
    </row>
    <row r="917" ht="15.75" customHeight="1">
      <c r="B917" s="448"/>
      <c r="C917" s="448"/>
      <c r="D917" s="448"/>
      <c r="E917" s="448"/>
      <c r="F917" s="448"/>
    </row>
    <row r="918" ht="15.75" customHeight="1">
      <c r="B918" s="448"/>
      <c r="C918" s="448"/>
      <c r="D918" s="448"/>
      <c r="E918" s="448"/>
      <c r="F918" s="448"/>
    </row>
    <row r="919" ht="15.75" customHeight="1">
      <c r="B919" s="448"/>
      <c r="C919" s="448"/>
      <c r="D919" s="448"/>
      <c r="E919" s="448"/>
      <c r="F919" s="448"/>
    </row>
    <row r="920" ht="15.75" customHeight="1">
      <c r="B920" s="448"/>
      <c r="C920" s="448"/>
      <c r="D920" s="448"/>
      <c r="E920" s="448"/>
      <c r="F920" s="448"/>
    </row>
    <row r="921" ht="15.75" customHeight="1">
      <c r="B921" s="448"/>
      <c r="C921" s="448"/>
      <c r="D921" s="448"/>
      <c r="E921" s="448"/>
      <c r="F921" s="448"/>
    </row>
    <row r="922" ht="15.75" customHeight="1">
      <c r="B922" s="448"/>
      <c r="C922" s="448"/>
      <c r="D922" s="448"/>
      <c r="E922" s="448"/>
      <c r="F922" s="448"/>
    </row>
    <row r="923" ht="15.75" customHeight="1">
      <c r="B923" s="448"/>
      <c r="C923" s="448"/>
      <c r="D923" s="448"/>
      <c r="E923" s="448"/>
      <c r="F923" s="448"/>
    </row>
    <row r="924" ht="15.75" customHeight="1">
      <c r="B924" s="448"/>
      <c r="C924" s="448"/>
      <c r="D924" s="448"/>
      <c r="E924" s="448"/>
      <c r="F924" s="448"/>
    </row>
    <row r="925" ht="15.75" customHeight="1">
      <c r="B925" s="448"/>
      <c r="C925" s="448"/>
      <c r="D925" s="448"/>
      <c r="E925" s="448"/>
      <c r="F925" s="448"/>
    </row>
    <row r="926" ht="15.75" customHeight="1">
      <c r="B926" s="448"/>
      <c r="C926" s="448"/>
      <c r="D926" s="448"/>
      <c r="E926" s="448"/>
      <c r="F926" s="448"/>
    </row>
    <row r="927" ht="15.75" customHeight="1">
      <c r="B927" s="448"/>
      <c r="C927" s="448"/>
      <c r="D927" s="448"/>
      <c r="E927" s="448"/>
      <c r="F927" s="448"/>
    </row>
    <row r="928" ht="15.75" customHeight="1">
      <c r="B928" s="448"/>
      <c r="C928" s="448"/>
      <c r="D928" s="448"/>
      <c r="E928" s="448"/>
      <c r="F928" s="448"/>
    </row>
    <row r="929" ht="15.75" customHeight="1">
      <c r="B929" s="448"/>
      <c r="C929" s="448"/>
      <c r="D929" s="448"/>
      <c r="E929" s="448"/>
      <c r="F929" s="448"/>
    </row>
    <row r="930" ht="15.75" customHeight="1">
      <c r="B930" s="448"/>
      <c r="C930" s="448"/>
      <c r="D930" s="448"/>
      <c r="E930" s="448"/>
      <c r="F930" s="448"/>
    </row>
    <row r="931" ht="15.75" customHeight="1">
      <c r="B931" s="448"/>
      <c r="C931" s="448"/>
      <c r="D931" s="448"/>
      <c r="E931" s="448"/>
      <c r="F931" s="448"/>
    </row>
    <row r="932" ht="15.75" customHeight="1">
      <c r="B932" s="448"/>
      <c r="C932" s="448"/>
      <c r="D932" s="448"/>
      <c r="E932" s="448"/>
      <c r="F932" s="448"/>
    </row>
    <row r="933" ht="15.75" customHeight="1">
      <c r="B933" s="448"/>
      <c r="C933" s="448"/>
      <c r="D933" s="448"/>
      <c r="E933" s="448"/>
      <c r="F933" s="448"/>
    </row>
    <row r="934" ht="15.75" customHeight="1">
      <c r="B934" s="448"/>
      <c r="C934" s="448"/>
      <c r="D934" s="448"/>
      <c r="E934" s="448"/>
      <c r="F934" s="448"/>
    </row>
    <row r="935" ht="15.75" customHeight="1">
      <c r="B935" s="448"/>
      <c r="C935" s="448"/>
      <c r="D935" s="448"/>
      <c r="E935" s="448"/>
      <c r="F935" s="448"/>
    </row>
    <row r="936" ht="15.75" customHeight="1">
      <c r="B936" s="448"/>
      <c r="C936" s="448"/>
      <c r="D936" s="448"/>
      <c r="E936" s="448"/>
      <c r="F936" s="448"/>
    </row>
    <row r="937" ht="15.75" customHeight="1">
      <c r="B937" s="448"/>
      <c r="C937" s="448"/>
      <c r="D937" s="448"/>
      <c r="E937" s="448"/>
      <c r="F937" s="448"/>
    </row>
    <row r="938" ht="15.75" customHeight="1">
      <c r="B938" s="448"/>
      <c r="C938" s="448"/>
      <c r="D938" s="448"/>
      <c r="E938" s="448"/>
      <c r="F938" s="448"/>
    </row>
    <row r="939" ht="15.75" customHeight="1">
      <c r="B939" s="448"/>
      <c r="C939" s="448"/>
      <c r="D939" s="448"/>
      <c r="E939" s="448"/>
      <c r="F939" s="448"/>
    </row>
    <row r="940" ht="15.75" customHeight="1">
      <c r="B940" s="448"/>
      <c r="C940" s="448"/>
      <c r="D940" s="448"/>
      <c r="E940" s="448"/>
      <c r="F940" s="448"/>
    </row>
    <row r="941" ht="15.75" customHeight="1">
      <c r="B941" s="448"/>
      <c r="C941" s="448"/>
      <c r="D941" s="448"/>
      <c r="E941" s="448"/>
      <c r="F941" s="448"/>
    </row>
    <row r="942" ht="15.75" customHeight="1">
      <c r="B942" s="448"/>
      <c r="C942" s="448"/>
      <c r="D942" s="448"/>
      <c r="E942" s="448"/>
      <c r="F942" s="448"/>
    </row>
    <row r="943" ht="15.75" customHeight="1">
      <c r="B943" s="448"/>
      <c r="C943" s="448"/>
      <c r="D943" s="448"/>
      <c r="E943" s="448"/>
      <c r="F943" s="448"/>
    </row>
    <row r="944" ht="15.75" customHeight="1">
      <c r="B944" s="448"/>
      <c r="C944" s="448"/>
      <c r="D944" s="448"/>
      <c r="E944" s="448"/>
      <c r="F944" s="448"/>
    </row>
    <row r="945" ht="15.75" customHeight="1">
      <c r="B945" s="448"/>
      <c r="C945" s="448"/>
      <c r="D945" s="448"/>
      <c r="E945" s="448"/>
      <c r="F945" s="448"/>
    </row>
    <row r="946" ht="15.75" customHeight="1">
      <c r="B946" s="448"/>
      <c r="C946" s="448"/>
      <c r="D946" s="448"/>
      <c r="E946" s="448"/>
      <c r="F946" s="448"/>
    </row>
    <row r="947" ht="15.75" customHeight="1">
      <c r="B947" s="448"/>
      <c r="C947" s="448"/>
      <c r="D947" s="448"/>
      <c r="E947" s="448"/>
      <c r="F947" s="448"/>
    </row>
    <row r="948" ht="15.75" customHeight="1">
      <c r="B948" s="448"/>
      <c r="C948" s="448"/>
      <c r="D948" s="448"/>
      <c r="E948" s="448"/>
      <c r="F948" s="448"/>
    </row>
    <row r="949" ht="15.75" customHeight="1">
      <c r="B949" s="448"/>
      <c r="C949" s="448"/>
      <c r="D949" s="448"/>
      <c r="E949" s="448"/>
      <c r="F949" s="448"/>
    </row>
    <row r="950" ht="15.75" customHeight="1">
      <c r="B950" s="448"/>
      <c r="C950" s="448"/>
      <c r="D950" s="448"/>
      <c r="E950" s="448"/>
      <c r="F950" s="448"/>
    </row>
    <row r="951" ht="15.75" customHeight="1">
      <c r="B951" s="448"/>
      <c r="C951" s="448"/>
      <c r="D951" s="448"/>
      <c r="E951" s="448"/>
      <c r="F951" s="448"/>
    </row>
    <row r="952" ht="15.75" customHeight="1">
      <c r="B952" s="448"/>
      <c r="C952" s="448"/>
      <c r="D952" s="448"/>
      <c r="E952" s="448"/>
      <c r="F952" s="448"/>
    </row>
    <row r="953" ht="15.75" customHeight="1">
      <c r="B953" s="448"/>
      <c r="C953" s="448"/>
      <c r="D953" s="448"/>
      <c r="E953" s="448"/>
      <c r="F953" s="448"/>
    </row>
    <row r="954" ht="15.75" customHeight="1">
      <c r="B954" s="448"/>
      <c r="C954" s="448"/>
      <c r="D954" s="448"/>
      <c r="E954" s="448"/>
      <c r="F954" s="448"/>
    </row>
    <row r="955" ht="15.75" customHeight="1">
      <c r="B955" s="448"/>
      <c r="C955" s="448"/>
      <c r="D955" s="448"/>
      <c r="E955" s="448"/>
      <c r="F955" s="448"/>
    </row>
    <row r="956" ht="15.75" customHeight="1">
      <c r="B956" s="448"/>
      <c r="C956" s="448"/>
      <c r="D956" s="448"/>
      <c r="E956" s="448"/>
      <c r="F956" s="448"/>
    </row>
    <row r="957" ht="15.75" customHeight="1">
      <c r="B957" s="448"/>
      <c r="C957" s="448"/>
      <c r="D957" s="448"/>
      <c r="E957" s="448"/>
      <c r="F957" s="448"/>
    </row>
    <row r="958" ht="15.75" customHeight="1">
      <c r="B958" s="448"/>
      <c r="C958" s="448"/>
      <c r="D958" s="448"/>
      <c r="E958" s="448"/>
      <c r="F958" s="448"/>
    </row>
    <row r="959" ht="15.75" customHeight="1">
      <c r="B959" s="448"/>
      <c r="C959" s="448"/>
      <c r="D959" s="448"/>
      <c r="E959" s="448"/>
      <c r="F959" s="448"/>
    </row>
    <row r="960" ht="15.75" customHeight="1">
      <c r="B960" s="448"/>
      <c r="C960" s="448"/>
      <c r="D960" s="448"/>
      <c r="E960" s="448"/>
      <c r="F960" s="448"/>
    </row>
    <row r="961" ht="15.75" customHeight="1">
      <c r="B961" s="448"/>
      <c r="C961" s="448"/>
      <c r="D961" s="448"/>
      <c r="E961" s="448"/>
      <c r="F961" s="448"/>
    </row>
    <row r="962" ht="15.75" customHeight="1">
      <c r="B962" s="448"/>
      <c r="C962" s="448"/>
      <c r="D962" s="448"/>
      <c r="E962" s="448"/>
      <c r="F962" s="448"/>
    </row>
    <row r="963" ht="15.75" customHeight="1">
      <c r="B963" s="448"/>
      <c r="C963" s="448"/>
      <c r="D963" s="448"/>
      <c r="E963" s="448"/>
      <c r="F963" s="448"/>
    </row>
    <row r="964" ht="15.75" customHeight="1">
      <c r="B964" s="448"/>
      <c r="C964" s="448"/>
      <c r="D964" s="448"/>
      <c r="E964" s="448"/>
      <c r="F964" s="448"/>
    </row>
    <row r="965" ht="15.75" customHeight="1">
      <c r="B965" s="448"/>
      <c r="C965" s="448"/>
      <c r="D965" s="448"/>
      <c r="E965" s="448"/>
      <c r="F965" s="448"/>
    </row>
    <row r="966" ht="15.75" customHeight="1">
      <c r="B966" s="448"/>
      <c r="C966" s="448"/>
      <c r="D966" s="448"/>
      <c r="E966" s="448"/>
      <c r="F966" s="448"/>
    </row>
    <row r="967" ht="15.75" customHeight="1">
      <c r="B967" s="448"/>
      <c r="C967" s="448"/>
      <c r="D967" s="448"/>
      <c r="E967" s="448"/>
      <c r="F967" s="448"/>
    </row>
    <row r="968" ht="15.75" customHeight="1">
      <c r="B968" s="448"/>
      <c r="C968" s="448"/>
      <c r="D968" s="448"/>
      <c r="E968" s="448"/>
      <c r="F968" s="448"/>
    </row>
    <row r="969" ht="15.75" customHeight="1">
      <c r="B969" s="448"/>
      <c r="C969" s="448"/>
      <c r="D969" s="448"/>
      <c r="E969" s="448"/>
      <c r="F969" s="448"/>
    </row>
    <row r="970" ht="15.75" customHeight="1">
      <c r="B970" s="448"/>
      <c r="C970" s="448"/>
      <c r="D970" s="448"/>
      <c r="E970" s="448"/>
      <c r="F970" s="448"/>
    </row>
    <row r="971" ht="15.75" customHeight="1">
      <c r="B971" s="448"/>
      <c r="C971" s="448"/>
      <c r="D971" s="448"/>
      <c r="E971" s="448"/>
      <c r="F971" s="448"/>
    </row>
    <row r="972" ht="15.75" customHeight="1">
      <c r="B972" s="448"/>
      <c r="C972" s="448"/>
      <c r="D972" s="448"/>
      <c r="E972" s="448"/>
      <c r="F972" s="448"/>
    </row>
    <row r="973" ht="15.75" customHeight="1">
      <c r="B973" s="448"/>
      <c r="C973" s="448"/>
      <c r="D973" s="448"/>
      <c r="E973" s="448"/>
      <c r="F973" s="448"/>
    </row>
    <row r="974" ht="15.75" customHeight="1">
      <c r="B974" s="448"/>
      <c r="C974" s="448"/>
      <c r="D974" s="448"/>
      <c r="E974" s="448"/>
      <c r="F974" s="448"/>
    </row>
    <row r="975" ht="15.75" customHeight="1">
      <c r="B975" s="448"/>
      <c r="C975" s="448"/>
      <c r="D975" s="448"/>
      <c r="E975" s="448"/>
      <c r="F975" s="448"/>
    </row>
    <row r="976" ht="15.75" customHeight="1">
      <c r="B976" s="448"/>
      <c r="C976" s="448"/>
      <c r="D976" s="448"/>
      <c r="E976" s="448"/>
      <c r="F976" s="448"/>
    </row>
    <row r="977" ht="15.75" customHeight="1">
      <c r="B977" s="448"/>
      <c r="C977" s="448"/>
      <c r="D977" s="448"/>
      <c r="E977" s="448"/>
      <c r="F977" s="448"/>
    </row>
    <row r="978" ht="15.75" customHeight="1">
      <c r="B978" s="448"/>
      <c r="C978" s="448"/>
      <c r="D978" s="448"/>
      <c r="E978" s="448"/>
      <c r="F978" s="448"/>
    </row>
    <row r="979" ht="15.75" customHeight="1">
      <c r="B979" s="448"/>
      <c r="C979" s="448"/>
      <c r="D979" s="448"/>
      <c r="E979" s="448"/>
      <c r="F979" s="448"/>
    </row>
    <row r="980" ht="15.75" customHeight="1">
      <c r="B980" s="448"/>
      <c r="C980" s="448"/>
      <c r="D980" s="448"/>
      <c r="E980" s="448"/>
      <c r="F980" s="448"/>
    </row>
    <row r="981" ht="15.75" customHeight="1">
      <c r="B981" s="448"/>
      <c r="C981" s="448"/>
      <c r="D981" s="448"/>
      <c r="E981" s="448"/>
      <c r="F981" s="448"/>
    </row>
    <row r="982" ht="15.75" customHeight="1">
      <c r="B982" s="448"/>
      <c r="C982" s="448"/>
      <c r="D982" s="448"/>
      <c r="E982" s="448"/>
      <c r="F982" s="448"/>
    </row>
    <row r="983" ht="15.75" customHeight="1">
      <c r="B983" s="448"/>
      <c r="C983" s="448"/>
      <c r="D983" s="448"/>
      <c r="E983" s="448"/>
      <c r="F983" s="448"/>
    </row>
    <row r="984" ht="15.75" customHeight="1">
      <c r="B984" s="448"/>
      <c r="C984" s="448"/>
      <c r="D984" s="448"/>
      <c r="E984" s="448"/>
      <c r="F984" s="448"/>
    </row>
    <row r="985" ht="15.75" customHeight="1">
      <c r="B985" s="448"/>
      <c r="C985" s="448"/>
      <c r="D985" s="448"/>
      <c r="E985" s="448"/>
      <c r="F985" s="448"/>
    </row>
    <row r="986" ht="15.75" customHeight="1">
      <c r="B986" s="448"/>
      <c r="C986" s="448"/>
      <c r="D986" s="448"/>
      <c r="E986" s="448"/>
      <c r="F986" s="448"/>
    </row>
    <row r="987" ht="15.75" customHeight="1">
      <c r="B987" s="448"/>
      <c r="C987" s="448"/>
      <c r="D987" s="448"/>
      <c r="E987" s="448"/>
      <c r="F987" s="448"/>
    </row>
    <row r="988" ht="15.75" customHeight="1">
      <c r="B988" s="448"/>
      <c r="C988" s="448"/>
      <c r="D988" s="448"/>
      <c r="E988" s="448"/>
      <c r="F988" s="448"/>
    </row>
    <row r="989" ht="15.75" customHeight="1">
      <c r="B989" s="448"/>
      <c r="C989" s="448"/>
      <c r="D989" s="448"/>
      <c r="E989" s="448"/>
      <c r="F989" s="448"/>
    </row>
    <row r="990" ht="15.75" customHeight="1">
      <c r="B990" s="448"/>
      <c r="C990" s="448"/>
      <c r="D990" s="448"/>
      <c r="E990" s="448"/>
      <c r="F990" s="448"/>
    </row>
    <row r="991" ht="15.75" customHeight="1">
      <c r="B991" s="448"/>
      <c r="C991" s="448"/>
      <c r="D991" s="448"/>
      <c r="E991" s="448"/>
      <c r="F991" s="448"/>
    </row>
    <row r="992" ht="15.75" customHeight="1">
      <c r="B992" s="448"/>
      <c r="C992" s="448"/>
      <c r="D992" s="448"/>
      <c r="E992" s="448"/>
      <c r="F992" s="448"/>
    </row>
    <row r="993" ht="15.75" customHeight="1">
      <c r="B993" s="448"/>
      <c r="C993" s="448"/>
      <c r="D993" s="448"/>
      <c r="E993" s="448"/>
      <c r="F993" s="448"/>
    </row>
    <row r="994" ht="15.75" customHeight="1">
      <c r="B994" s="448"/>
      <c r="C994" s="448"/>
      <c r="D994" s="448"/>
      <c r="E994" s="448"/>
      <c r="F994" s="448"/>
    </row>
    <row r="995" ht="15.75" customHeight="1">
      <c r="B995" s="448"/>
      <c r="C995" s="448"/>
      <c r="D995" s="448"/>
      <c r="E995" s="448"/>
      <c r="F995" s="448"/>
    </row>
    <row r="996" ht="15.75" customHeight="1">
      <c r="B996" s="448"/>
      <c r="C996" s="448"/>
      <c r="D996" s="448"/>
      <c r="E996" s="448"/>
      <c r="F996" s="448"/>
    </row>
    <row r="997" ht="15.75" customHeight="1">
      <c r="B997" s="448"/>
      <c r="C997" s="448"/>
      <c r="D997" s="448"/>
      <c r="E997" s="448"/>
      <c r="F997" s="448"/>
    </row>
    <row r="998" ht="15.75" customHeight="1">
      <c r="B998" s="448"/>
      <c r="C998" s="448"/>
      <c r="D998" s="448"/>
      <c r="E998" s="448"/>
      <c r="F998" s="448"/>
    </row>
    <row r="999" ht="15.75" customHeight="1">
      <c r="B999" s="448"/>
      <c r="C999" s="448"/>
      <c r="D999" s="448"/>
      <c r="E999" s="448"/>
      <c r="F999" s="448"/>
    </row>
    <row r="1000" ht="15.75" customHeight="1">
      <c r="B1000" s="448"/>
      <c r="C1000" s="448"/>
      <c r="D1000" s="448"/>
      <c r="E1000" s="448"/>
      <c r="F1000" s="44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33.33"/>
    <col customWidth="1" min="2" max="9" width="16.67"/>
    <col customWidth="1" min="10" max="11" width="21.11"/>
    <col customWidth="1" min="12" max="12" width="18.0"/>
    <col customWidth="1" hidden="1" min="13" max="13" width="8.0"/>
    <col customWidth="1" min="14" max="15" width="18.0"/>
    <col customWidth="1" min="16" max="26" width="11.44"/>
  </cols>
  <sheetData>
    <row r="1" ht="15.0" customHeight="1">
      <c r="A1" s="444" t="s">
        <v>212</v>
      </c>
      <c r="B1" s="448"/>
      <c r="C1" s="448"/>
      <c r="D1" s="448"/>
      <c r="E1" s="448"/>
      <c r="F1" s="448"/>
      <c r="G1" s="448"/>
      <c r="H1" s="448"/>
      <c r="I1" s="448"/>
    </row>
    <row r="2" ht="15.0" customHeight="1">
      <c r="A2" s="445" t="s">
        <v>213</v>
      </c>
      <c r="B2" s="445" t="s">
        <v>216</v>
      </c>
      <c r="C2" s="445" t="s">
        <v>217</v>
      </c>
      <c r="D2" s="445" t="s">
        <v>219</v>
      </c>
      <c r="E2" s="445" t="s">
        <v>220</v>
      </c>
      <c r="F2" s="445" t="s">
        <v>221</v>
      </c>
      <c r="G2" s="445"/>
      <c r="H2" s="445"/>
      <c r="I2" s="445"/>
      <c r="J2" s="461" t="s">
        <v>273</v>
      </c>
      <c r="K2" s="487" t="s">
        <v>274</v>
      </c>
    </row>
    <row r="3" ht="15.0" customHeight="1">
      <c r="A3" s="77" t="s">
        <v>275</v>
      </c>
      <c r="B3" s="33">
        <v>2.876E7</v>
      </c>
      <c r="C3" s="33">
        <v>2.2882E7</v>
      </c>
      <c r="D3" s="33">
        <v>8.72E7</v>
      </c>
      <c r="E3" s="33">
        <v>4.49E7</v>
      </c>
      <c r="F3" s="33">
        <v>6.64E7</v>
      </c>
      <c r="G3" s="33"/>
      <c r="H3" s="33"/>
      <c r="I3" s="33"/>
      <c r="J3" s="489">
        <f t="shared" ref="J3:K3" si="1">E10-E26</f>
        <v>124300000</v>
      </c>
      <c r="K3" s="490">
        <f t="shared" si="1"/>
        <v>153600000</v>
      </c>
    </row>
    <row r="4" ht="15.0" customHeight="1">
      <c r="A4" s="77" t="s">
        <v>278</v>
      </c>
      <c r="B4" s="33">
        <v>1.61153E8</v>
      </c>
      <c r="C4" s="33">
        <v>1.00117E8</v>
      </c>
      <c r="D4" s="33">
        <v>3.489E8</v>
      </c>
      <c r="E4" s="33">
        <v>2.747E8</v>
      </c>
      <c r="F4" s="33">
        <v>3.061E8</v>
      </c>
      <c r="G4" s="33"/>
      <c r="H4" s="33"/>
      <c r="I4" s="33"/>
      <c r="J4" s="491" t="s">
        <v>234</v>
      </c>
      <c r="K4" s="492" t="s">
        <v>237</v>
      </c>
    </row>
    <row r="5" ht="15.0" customHeight="1">
      <c r="A5" s="77" t="s">
        <v>282</v>
      </c>
      <c r="B5" s="33">
        <v>1.8757E7</v>
      </c>
      <c r="C5" s="33">
        <v>1.7302E7</v>
      </c>
      <c r="D5" s="33">
        <v>1.28E7</v>
      </c>
      <c r="E5" s="33">
        <v>1.08E7</v>
      </c>
      <c r="F5" s="33">
        <v>1.17E7</v>
      </c>
      <c r="G5" s="33"/>
      <c r="H5" s="33"/>
      <c r="I5" s="33"/>
      <c r="J5" s="493">
        <f>'Income Statement '!E3</f>
        <v>3018300000</v>
      </c>
      <c r="K5" s="494">
        <f>'Income Statement '!F3</f>
        <v>3387200000</v>
      </c>
    </row>
    <row r="6" ht="15.0" customHeight="1">
      <c r="A6" s="77" t="s">
        <v>291</v>
      </c>
      <c r="B6" s="33">
        <v>2.74146E8</v>
      </c>
      <c r="C6" s="33">
        <v>2.57372E8</v>
      </c>
      <c r="D6" s="33">
        <v>3.45E8</v>
      </c>
      <c r="E6" s="33">
        <v>3.176E8</v>
      </c>
      <c r="F6" s="33">
        <v>4.287E8</v>
      </c>
      <c r="G6" s="33"/>
      <c r="H6" s="33"/>
      <c r="I6" s="33"/>
      <c r="J6" s="471" t="s">
        <v>292</v>
      </c>
      <c r="K6" s="472"/>
    </row>
    <row r="7" ht="15.0" customHeight="1">
      <c r="A7" s="77" t="s">
        <v>293</v>
      </c>
      <c r="B7" s="33">
        <v>754000.0</v>
      </c>
      <c r="C7" s="33">
        <v>1309000.0</v>
      </c>
      <c r="D7" s="33">
        <v>1100000.0</v>
      </c>
      <c r="E7" s="33">
        <v>2700000.0</v>
      </c>
      <c r="F7" s="33">
        <v>200000.0</v>
      </c>
      <c r="G7" s="33"/>
      <c r="H7" s="33"/>
      <c r="I7" s="33"/>
      <c r="J7" s="496">
        <f t="shared" ref="J7:K7" si="2">J3/J5</f>
        <v>0.04118212239</v>
      </c>
      <c r="K7" s="497">
        <f t="shared" si="2"/>
        <v>0.04534718942</v>
      </c>
    </row>
    <row r="8" ht="15.0" customHeight="1">
      <c r="A8" s="77" t="s">
        <v>298</v>
      </c>
      <c r="B8" s="33">
        <v>0.0</v>
      </c>
      <c r="C8" s="33">
        <v>0.0</v>
      </c>
      <c r="D8" s="33">
        <v>0.0</v>
      </c>
      <c r="E8" s="33">
        <v>6.05E7</v>
      </c>
      <c r="F8" s="33">
        <v>1400000.0</v>
      </c>
      <c r="G8" s="33"/>
      <c r="H8" s="33"/>
      <c r="I8" s="33"/>
      <c r="J8" s="498" t="s">
        <v>299</v>
      </c>
      <c r="K8" s="499">
        <f>AVERAGE(J7:K7)</f>
        <v>0.0432646559</v>
      </c>
    </row>
    <row r="9" ht="15.0" customHeight="1">
      <c r="A9" s="77" t="s">
        <v>300</v>
      </c>
      <c r="B9" s="33">
        <v>6008000.0</v>
      </c>
      <c r="C9" s="33">
        <v>1.0703E7</v>
      </c>
      <c r="D9" s="33">
        <v>3.84E7</v>
      </c>
      <c r="E9" s="33">
        <v>1.91E7</v>
      </c>
      <c r="F9" s="33">
        <v>1.77E7</v>
      </c>
      <c r="G9" s="33"/>
      <c r="H9" s="33"/>
      <c r="I9" s="33"/>
      <c r="J9" s="500"/>
    </row>
    <row r="10" ht="15.0" customHeight="1">
      <c r="A10" s="451" t="s">
        <v>301</v>
      </c>
      <c r="B10" s="452">
        <v>4.89578E8</v>
      </c>
      <c r="C10" s="452">
        <v>4.09685E8</v>
      </c>
      <c r="D10" s="452">
        <v>8.334E8</v>
      </c>
      <c r="E10" s="452">
        <v>7.303E8</v>
      </c>
      <c r="F10" s="452">
        <v>8.322E8</v>
      </c>
      <c r="G10" s="452"/>
      <c r="H10" s="452"/>
      <c r="I10" s="452"/>
      <c r="J10" s="33"/>
    </row>
    <row r="11" ht="15.0" customHeight="1">
      <c r="A11" s="77" t="s">
        <v>302</v>
      </c>
      <c r="B11" s="33">
        <v>1.4028E7</v>
      </c>
      <c r="C11" s="33">
        <v>2053000.0</v>
      </c>
      <c r="D11" s="33">
        <v>0.0</v>
      </c>
      <c r="E11" s="33">
        <v>0.0</v>
      </c>
      <c r="F11" s="33">
        <v>0.0</v>
      </c>
      <c r="G11" s="33"/>
      <c r="H11" s="33"/>
      <c r="I11" s="33"/>
      <c r="J11" s="453"/>
    </row>
    <row r="12" ht="15.0" customHeight="1">
      <c r="A12" s="77" t="s">
        <v>303</v>
      </c>
      <c r="B12" s="33">
        <v>0.0</v>
      </c>
      <c r="C12" s="33">
        <v>0.0</v>
      </c>
      <c r="D12" s="33">
        <v>0.0</v>
      </c>
      <c r="E12" s="33">
        <v>0.0</v>
      </c>
      <c r="F12" s="33">
        <v>0.0</v>
      </c>
      <c r="G12" s="33"/>
      <c r="H12" s="33"/>
      <c r="I12" s="33"/>
      <c r="P12" s="77" t="s">
        <v>304</v>
      </c>
    </row>
    <row r="13" ht="15.0" customHeight="1">
      <c r="A13" s="77" t="s">
        <v>305</v>
      </c>
      <c r="B13" s="33">
        <v>2057000.0</v>
      </c>
      <c r="C13" s="33">
        <v>2119000.0</v>
      </c>
      <c r="D13" s="33">
        <v>4.66E7</v>
      </c>
      <c r="E13" s="33">
        <v>4.76E7</v>
      </c>
      <c r="F13" s="33">
        <v>0.0</v>
      </c>
      <c r="G13" s="501" t="s">
        <v>306</v>
      </c>
      <c r="I13" s="33"/>
      <c r="J13" s="502">
        <v>2024.0</v>
      </c>
      <c r="K13" s="502">
        <v>2025.0</v>
      </c>
      <c r="L13" s="502">
        <v>2026.0</v>
      </c>
      <c r="M13" s="502"/>
      <c r="N13" s="502">
        <v>2027.0</v>
      </c>
      <c r="O13" s="502">
        <v>2028.0</v>
      </c>
    </row>
    <row r="14" ht="15.0" customHeight="1">
      <c r="A14" s="77" t="s">
        <v>307</v>
      </c>
      <c r="B14" s="483">
        <v>4.43331E8</v>
      </c>
      <c r="C14" s="483">
        <v>4.54724E8</v>
      </c>
      <c r="D14" s="483">
        <v>1.0119E9</v>
      </c>
      <c r="E14" s="483">
        <v>9.539E8</v>
      </c>
      <c r="F14" s="483">
        <v>8.486E8</v>
      </c>
      <c r="G14" s="503">
        <f t="shared" ref="G14:H14" si="3">(E14-D14)/D14</f>
        <v>-0.05731791679</v>
      </c>
      <c r="H14" s="503">
        <f t="shared" si="3"/>
        <v>-0.1103889297</v>
      </c>
      <c r="I14" s="453" t="s">
        <v>255</v>
      </c>
      <c r="J14" s="486">
        <f>F14*(1+$H$15)</f>
        <v>777441985.1</v>
      </c>
      <c r="K14" s="486">
        <f t="shared" ref="K14:M14" si="4">J14*(1+$H$15)</f>
        <v>712250813.2</v>
      </c>
      <c r="L14" s="486">
        <f t="shared" si="4"/>
        <v>652526144.4</v>
      </c>
      <c r="M14" s="486">
        <f t="shared" si="4"/>
        <v>597809593.4</v>
      </c>
      <c r="N14" s="486">
        <f>L14*(1+$H$15)</f>
        <v>597809593.4</v>
      </c>
      <c r="O14" s="486">
        <f>N14*(1+$H$15)</f>
        <v>547681212.6</v>
      </c>
      <c r="P14" s="77" t="s">
        <v>308</v>
      </c>
    </row>
    <row r="15" ht="15.0" customHeight="1">
      <c r="A15" s="77" t="s">
        <v>309</v>
      </c>
      <c r="B15" s="33">
        <v>1.99614E8</v>
      </c>
      <c r="C15" s="33">
        <v>2.0165E8</v>
      </c>
      <c r="D15" s="33">
        <v>2.421E8</v>
      </c>
      <c r="E15" s="33">
        <v>2.407E8</v>
      </c>
      <c r="F15" s="33">
        <v>2.35E8</v>
      </c>
      <c r="G15" s="33" t="s">
        <v>56</v>
      </c>
      <c r="H15" s="453">
        <f>AVERAGE(G14:H14)</f>
        <v>-0.08385342322</v>
      </c>
      <c r="I15" s="449" t="s">
        <v>310</v>
      </c>
      <c r="J15" s="504">
        <f>J14*'Income Statement '!$H$15</f>
        <v>67750389.99</v>
      </c>
      <c r="K15" s="504">
        <f>K14*'Income Statement '!$H$15</f>
        <v>62069287.86</v>
      </c>
      <c r="L15" s="504">
        <f>L14*'Income Statement '!$H$15</f>
        <v>56864565.6</v>
      </c>
      <c r="M15" s="504">
        <f>M14*'Income Statement '!$H$15</f>
        <v>52096277.11</v>
      </c>
      <c r="N15" s="504">
        <f>N14*'Income Statement '!$H$15</f>
        <v>52096277.11</v>
      </c>
      <c r="O15" s="504">
        <f>O14*'Income Statement '!$H$15</f>
        <v>47727825.94</v>
      </c>
      <c r="P15" s="77" t="s">
        <v>324</v>
      </c>
    </row>
    <row r="16" ht="15.0" customHeight="1">
      <c r="A16" s="77" t="s">
        <v>325</v>
      </c>
      <c r="B16" s="33">
        <v>3.35533E8</v>
      </c>
      <c r="C16" s="33">
        <v>3.46486E8</v>
      </c>
      <c r="D16" s="33">
        <v>3.474E8</v>
      </c>
      <c r="E16" s="33">
        <v>3.474E8</v>
      </c>
      <c r="F16" s="33">
        <v>2.295E8</v>
      </c>
      <c r="G16" s="33"/>
      <c r="H16" s="33"/>
      <c r="I16" s="33"/>
    </row>
    <row r="17" ht="15.0" customHeight="1">
      <c r="A17" s="77" t="s">
        <v>327</v>
      </c>
      <c r="B17" s="33">
        <v>4444000.0</v>
      </c>
      <c r="C17" s="33">
        <v>6696000.0</v>
      </c>
      <c r="D17" s="33">
        <v>4600000.0</v>
      </c>
      <c r="E17" s="33">
        <v>3.89E7</v>
      </c>
      <c r="F17" s="33">
        <v>7800000.0</v>
      </c>
      <c r="G17" s="33"/>
      <c r="H17" s="33"/>
      <c r="I17" s="33"/>
      <c r="M17" s="453"/>
    </row>
    <row r="18" ht="15.0" customHeight="1">
      <c r="A18" s="77" t="s">
        <v>331</v>
      </c>
      <c r="B18" s="33">
        <v>0.0</v>
      </c>
      <c r="C18" s="33">
        <v>0.0</v>
      </c>
      <c r="D18" s="33">
        <v>100000.0</v>
      </c>
      <c r="E18" s="33">
        <v>0.0</v>
      </c>
      <c r="F18" s="33">
        <v>0.0</v>
      </c>
      <c r="G18" s="33"/>
      <c r="H18" s="33"/>
      <c r="I18" s="33"/>
    </row>
    <row r="19" ht="15.0" customHeight="1">
      <c r="A19" s="77" t="s">
        <v>336</v>
      </c>
      <c r="B19" s="33">
        <v>9.99007E8</v>
      </c>
      <c r="C19" s="33">
        <v>1.013728E9</v>
      </c>
      <c r="D19" s="33">
        <v>1.6527E9</v>
      </c>
      <c r="E19" s="33">
        <v>1.6285E9</v>
      </c>
      <c r="F19" s="33">
        <v>1.3209E9</v>
      </c>
      <c r="G19" s="33"/>
      <c r="H19" s="33"/>
      <c r="I19" s="33"/>
    </row>
    <row r="20" ht="15.0" customHeight="1">
      <c r="A20" s="511" t="s">
        <v>339</v>
      </c>
      <c r="B20" s="33">
        <v>1.488585E9</v>
      </c>
      <c r="C20" s="33">
        <v>1.423413E9</v>
      </c>
      <c r="D20" s="33">
        <v>2.4861E9</v>
      </c>
      <c r="E20" s="33">
        <v>2.3588E9</v>
      </c>
      <c r="F20" s="452">
        <v>2.1531E9</v>
      </c>
      <c r="G20" s="452"/>
      <c r="H20" s="452"/>
      <c r="I20" s="452"/>
      <c r="M20" s="161" t="s">
        <v>271</v>
      </c>
    </row>
    <row r="21" ht="15.0" customHeight="1">
      <c r="A21" s="77" t="s">
        <v>340</v>
      </c>
      <c r="B21" s="33">
        <v>2.65866E8</v>
      </c>
      <c r="C21" s="33">
        <v>2.53389E8</v>
      </c>
      <c r="D21" s="33">
        <v>4.774E8</v>
      </c>
      <c r="E21" s="33">
        <v>4.492E8</v>
      </c>
      <c r="F21" s="33">
        <v>5.1E8</v>
      </c>
      <c r="G21" s="33"/>
      <c r="H21" s="33"/>
      <c r="I21" s="33"/>
      <c r="M21" s="483">
        <f>'Income Statement '!F18*-1</f>
        <v>24100000</v>
      </c>
    </row>
    <row r="22" ht="15.0" customHeight="1">
      <c r="A22" s="161" t="s">
        <v>341</v>
      </c>
      <c r="B22" s="33">
        <v>13000.0</v>
      </c>
      <c r="C22" s="33">
        <v>2978000.0</v>
      </c>
      <c r="D22" s="33">
        <v>2.55E7</v>
      </c>
      <c r="E22" s="33">
        <v>2.1E7</v>
      </c>
      <c r="F22" s="513">
        <v>1.72E7</v>
      </c>
      <c r="G22" s="513"/>
      <c r="H22" s="513"/>
      <c r="I22" s="513"/>
    </row>
    <row r="23" ht="15.0" customHeight="1">
      <c r="A23" s="77" t="s">
        <v>342</v>
      </c>
      <c r="B23" s="33">
        <v>4.9171E7</v>
      </c>
      <c r="C23" s="33">
        <v>4.9607E7</v>
      </c>
      <c r="D23" s="33">
        <v>1.392E8</v>
      </c>
      <c r="E23" s="33">
        <v>1.193E8</v>
      </c>
      <c r="F23" s="33">
        <v>1.341E8</v>
      </c>
      <c r="G23" s="33"/>
      <c r="H23" s="33"/>
      <c r="I23" s="33"/>
      <c r="M23" s="161" t="s">
        <v>343</v>
      </c>
    </row>
    <row r="24" ht="15.0" customHeight="1">
      <c r="A24" s="77" t="s">
        <v>344</v>
      </c>
      <c r="B24" s="33">
        <v>0.0</v>
      </c>
      <c r="C24" s="33">
        <v>0.0</v>
      </c>
      <c r="D24" s="33">
        <v>0.0</v>
      </c>
      <c r="E24" s="33">
        <v>0.0</v>
      </c>
      <c r="F24" s="33">
        <v>0.0</v>
      </c>
      <c r="G24" s="33"/>
      <c r="H24" s="33"/>
      <c r="I24" s="33"/>
      <c r="M24" s="483">
        <f>F22+F28</f>
        <v>467100000</v>
      </c>
    </row>
    <row r="25" ht="15.0" customHeight="1">
      <c r="A25" s="77" t="s">
        <v>345</v>
      </c>
      <c r="B25" s="33">
        <v>0.0</v>
      </c>
      <c r="C25" s="33">
        <v>0.0</v>
      </c>
      <c r="D25" s="33">
        <v>4.28E7</v>
      </c>
      <c r="E25" s="33">
        <v>1.65E7</v>
      </c>
      <c r="F25" s="33">
        <v>1.73E7</v>
      </c>
      <c r="G25" s="33"/>
      <c r="H25" s="33"/>
      <c r="I25" s="33"/>
    </row>
    <row r="26" ht="15.0" customHeight="1">
      <c r="A26" s="451" t="s">
        <v>347</v>
      </c>
      <c r="B26" s="452">
        <v>3.1505E8</v>
      </c>
      <c r="C26" s="452">
        <v>3.05974E8</v>
      </c>
      <c r="D26" s="452">
        <v>6.849E8</v>
      </c>
      <c r="E26" s="452">
        <v>6.06E8</v>
      </c>
      <c r="F26" s="452">
        <v>6.786E8</v>
      </c>
      <c r="G26" s="452"/>
      <c r="H26" s="452"/>
      <c r="I26" s="452"/>
    </row>
    <row r="27" ht="15.0" customHeight="1">
      <c r="A27" s="77" t="s">
        <v>348</v>
      </c>
      <c r="B27" s="33">
        <v>0.0</v>
      </c>
      <c r="C27" s="33">
        <v>0.0</v>
      </c>
      <c r="D27" s="33">
        <v>0.0</v>
      </c>
      <c r="E27" s="33">
        <v>0.0</v>
      </c>
      <c r="F27" s="33">
        <v>0.0</v>
      </c>
      <c r="G27" s="33"/>
      <c r="H27" s="33"/>
      <c r="I27" s="33"/>
      <c r="M27" s="77">
        <f>F28/M24</f>
        <v>0.9631770499</v>
      </c>
    </row>
    <row r="28" ht="15.0" customHeight="1">
      <c r="A28" s="161" t="s">
        <v>349</v>
      </c>
      <c r="B28" s="33">
        <v>3.16058E8</v>
      </c>
      <c r="C28" s="33">
        <v>2.5555E8</v>
      </c>
      <c r="D28" s="33">
        <v>4.71E8</v>
      </c>
      <c r="E28" s="33">
        <v>4.018E8</v>
      </c>
      <c r="F28" s="513">
        <v>4.499E8</v>
      </c>
      <c r="G28" s="513"/>
      <c r="H28" s="513"/>
      <c r="I28" s="513"/>
      <c r="M28" s="33">
        <f>AVERAGE(E28:F28)</f>
        <v>425850000</v>
      </c>
    </row>
    <row r="29" ht="15.0" customHeight="1">
      <c r="A29" s="77" t="s">
        <v>351</v>
      </c>
      <c r="B29" s="33">
        <v>3.1541E7</v>
      </c>
      <c r="C29" s="33">
        <v>4.785E7</v>
      </c>
      <c r="D29" s="33">
        <v>6.9E7</v>
      </c>
      <c r="E29" s="33">
        <v>8.86E7</v>
      </c>
      <c r="F29" s="33">
        <v>1.65E7</v>
      </c>
      <c r="G29" s="33"/>
      <c r="H29" s="33"/>
      <c r="I29" s="33"/>
    </row>
    <row r="30" ht="15.0" customHeight="1">
      <c r="A30" s="77" t="s">
        <v>352</v>
      </c>
      <c r="B30" s="33">
        <v>0.0</v>
      </c>
      <c r="C30" s="33">
        <v>0.0</v>
      </c>
      <c r="D30" s="33">
        <v>500000.0</v>
      </c>
      <c r="E30" s="33">
        <v>0.0</v>
      </c>
      <c r="F30" s="33">
        <v>4400000.0</v>
      </c>
      <c r="G30" s="33"/>
      <c r="H30" s="33"/>
      <c r="I30" s="33"/>
    </row>
    <row r="31" ht="15.0" customHeight="1">
      <c r="A31" s="77" t="s">
        <v>353</v>
      </c>
      <c r="B31" s="33">
        <v>3.47599E8</v>
      </c>
      <c r="C31" s="33">
        <v>3.034E8</v>
      </c>
      <c r="D31" s="33">
        <v>5.405E8</v>
      </c>
      <c r="E31" s="33">
        <v>4.904E8</v>
      </c>
      <c r="F31" s="33">
        <v>4.708E8</v>
      </c>
      <c r="G31" s="33"/>
      <c r="H31" s="33"/>
      <c r="I31" s="33"/>
    </row>
    <row r="32" ht="15.0" customHeight="1">
      <c r="A32" s="77" t="s">
        <v>354</v>
      </c>
      <c r="B32" s="33">
        <v>6.62649E8</v>
      </c>
      <c r="C32" s="33">
        <v>6.09374E8</v>
      </c>
      <c r="D32" s="33">
        <v>1.2254E9</v>
      </c>
      <c r="E32" s="33">
        <v>1.0964E9</v>
      </c>
      <c r="F32" s="33">
        <v>1.1494E9</v>
      </c>
      <c r="G32" s="33"/>
      <c r="H32" s="33"/>
      <c r="I32" s="33"/>
    </row>
    <row r="33" ht="15.0" customHeight="1">
      <c r="A33" s="77" t="s">
        <v>355</v>
      </c>
      <c r="B33" s="33">
        <v>4.77494E8</v>
      </c>
      <c r="C33" s="33">
        <v>4.80507E8</v>
      </c>
      <c r="D33" s="33">
        <v>8.757E8</v>
      </c>
      <c r="E33" s="33">
        <v>8.782E8</v>
      </c>
      <c r="F33" s="33">
        <v>8.81E8</v>
      </c>
      <c r="G33" s="33"/>
      <c r="H33" s="33"/>
      <c r="I33" s="33"/>
    </row>
    <row r="34" ht="15.0" customHeight="1">
      <c r="A34" s="77" t="s">
        <v>356</v>
      </c>
      <c r="B34" s="33">
        <v>2.286E7</v>
      </c>
      <c r="C34" s="33">
        <v>2.0859E7</v>
      </c>
      <c r="D34" s="33">
        <v>2.59E7</v>
      </c>
      <c r="E34" s="33">
        <v>2.69E7</v>
      </c>
      <c r="F34" s="33">
        <v>2.57E7</v>
      </c>
      <c r="G34" s="33"/>
      <c r="H34" s="33"/>
      <c r="I34" s="33"/>
    </row>
    <row r="35" ht="15.0" customHeight="1">
      <c r="A35" s="77" t="s">
        <v>357</v>
      </c>
      <c r="B35" s="33">
        <v>3.25582E8</v>
      </c>
      <c r="C35" s="33">
        <v>3.12673E8</v>
      </c>
      <c r="D35" s="33">
        <v>3.591E8</v>
      </c>
      <c r="E35" s="33">
        <v>3.573E8</v>
      </c>
      <c r="F35" s="33">
        <v>9.7E7</v>
      </c>
      <c r="G35" s="33"/>
      <c r="H35" s="33"/>
      <c r="I35" s="33"/>
    </row>
    <row r="36" ht="15.0" customHeight="1">
      <c r="A36" s="77" t="s">
        <v>358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/>
      <c r="H36" s="33"/>
      <c r="I36" s="33"/>
    </row>
    <row r="37" ht="15.0" customHeight="1">
      <c r="A37" s="77" t="s">
        <v>359</v>
      </c>
      <c r="B37" s="33">
        <v>0.0</v>
      </c>
      <c r="C37" s="33">
        <v>0.0</v>
      </c>
      <c r="D37" s="33">
        <v>0.0</v>
      </c>
      <c r="E37" s="33">
        <v>0.0</v>
      </c>
      <c r="F37" s="33">
        <v>0.0</v>
      </c>
      <c r="G37" s="33"/>
      <c r="H37" s="33"/>
      <c r="I37" s="33"/>
      <c r="M37" s="453"/>
    </row>
    <row r="38" ht="15.0" customHeight="1">
      <c r="A38" s="77" t="s">
        <v>360</v>
      </c>
      <c r="B38" s="33">
        <v>0.0</v>
      </c>
      <c r="C38" s="33">
        <v>0.0</v>
      </c>
      <c r="D38" s="33">
        <v>0.0</v>
      </c>
      <c r="E38" s="33">
        <v>0.0</v>
      </c>
      <c r="F38" s="33">
        <v>0.0</v>
      </c>
      <c r="G38" s="33"/>
      <c r="H38" s="33"/>
      <c r="I38" s="33"/>
    </row>
    <row r="39" ht="15.0" customHeight="1">
      <c r="A39" s="77" t="s">
        <v>361</v>
      </c>
      <c r="B39" s="448" t="s">
        <v>362</v>
      </c>
      <c r="C39" s="448" t="s">
        <v>362</v>
      </c>
      <c r="D39" s="448" t="s">
        <v>362</v>
      </c>
      <c r="E39" s="448" t="s">
        <v>362</v>
      </c>
      <c r="F39" s="448" t="s">
        <v>362</v>
      </c>
      <c r="G39" s="448"/>
      <c r="H39" s="448"/>
      <c r="I39" s="448"/>
    </row>
    <row r="40" ht="15.0" customHeight="1">
      <c r="A40" s="511" t="s">
        <v>70</v>
      </c>
      <c r="B40" s="33">
        <v>8.25936E8</v>
      </c>
      <c r="C40" s="33">
        <v>8.14039E8</v>
      </c>
      <c r="D40" s="33">
        <v>1.2607E9</v>
      </c>
      <c r="E40" s="33">
        <v>1.2624E9</v>
      </c>
      <c r="F40" s="452">
        <v>1.0037E9</v>
      </c>
      <c r="G40" s="452"/>
      <c r="H40" s="452"/>
      <c r="I40" s="452"/>
    </row>
    <row r="41" ht="15.75" customHeight="1">
      <c r="B41" s="448"/>
      <c r="C41" s="448"/>
      <c r="D41" s="448"/>
      <c r="E41" s="448"/>
      <c r="F41" s="448"/>
      <c r="G41" s="448"/>
      <c r="H41" s="448"/>
      <c r="I41" s="448"/>
    </row>
    <row r="42" ht="15.75" customHeight="1">
      <c r="B42" s="448"/>
      <c r="C42" s="448"/>
      <c r="D42" s="448"/>
      <c r="E42" s="448"/>
      <c r="F42" s="448"/>
      <c r="G42" s="448"/>
      <c r="H42" s="448"/>
      <c r="I42" s="448"/>
    </row>
    <row r="43" ht="15.75" customHeight="1">
      <c r="B43" s="448"/>
      <c r="C43" s="448"/>
      <c r="D43" s="448"/>
      <c r="E43" s="448"/>
      <c r="F43" s="448"/>
      <c r="G43" s="448"/>
      <c r="H43" s="448"/>
      <c r="I43" s="448"/>
    </row>
    <row r="44" ht="15.75" customHeight="1">
      <c r="B44" s="448"/>
      <c r="C44" s="448"/>
      <c r="D44" s="448"/>
      <c r="E44" s="448"/>
      <c r="F44" s="448"/>
      <c r="G44" s="448"/>
      <c r="H44" s="448"/>
      <c r="I44" s="448"/>
    </row>
    <row r="45" ht="15.75" customHeight="1">
      <c r="B45" s="448"/>
      <c r="C45" s="448"/>
      <c r="D45" s="448"/>
      <c r="E45" s="448"/>
      <c r="F45" s="448"/>
      <c r="G45" s="448"/>
      <c r="H45" s="448"/>
      <c r="I45" s="448"/>
    </row>
    <row r="46" ht="15.75" customHeight="1">
      <c r="B46" s="448"/>
      <c r="C46" s="448"/>
      <c r="D46" s="448"/>
      <c r="E46" s="448"/>
      <c r="F46" s="448"/>
      <c r="G46" s="448"/>
      <c r="H46" s="448"/>
      <c r="I46" s="448"/>
    </row>
    <row r="47" ht="15.75" customHeight="1">
      <c r="B47" s="448"/>
      <c r="C47" s="448"/>
      <c r="D47" s="448"/>
      <c r="E47" s="448"/>
      <c r="F47" s="448"/>
      <c r="G47" s="448"/>
      <c r="H47" s="448"/>
      <c r="I47" s="448"/>
    </row>
    <row r="48" ht="15.75" customHeight="1">
      <c r="B48" s="448"/>
      <c r="C48" s="448"/>
      <c r="D48" s="448"/>
      <c r="E48" s="448"/>
      <c r="F48" s="448"/>
      <c r="G48" s="448"/>
      <c r="H48" s="448"/>
      <c r="I48" s="448"/>
    </row>
    <row r="49" ht="15.75" customHeight="1">
      <c r="B49" s="448"/>
      <c r="C49" s="448"/>
      <c r="D49" s="448"/>
      <c r="E49" s="448"/>
      <c r="F49" s="448"/>
      <c r="G49" s="448"/>
      <c r="H49" s="448"/>
      <c r="I49" s="448"/>
    </row>
    <row r="50" ht="15.75" customHeight="1">
      <c r="B50" s="448"/>
      <c r="C50" s="448"/>
      <c r="D50" s="448"/>
      <c r="E50" s="448"/>
      <c r="F50" s="448"/>
      <c r="G50" s="448"/>
      <c r="H50" s="448"/>
      <c r="I50" s="448"/>
    </row>
    <row r="51" ht="15.75" customHeight="1">
      <c r="B51" s="448"/>
      <c r="C51" s="448"/>
      <c r="D51" s="448"/>
      <c r="E51" s="448"/>
      <c r="F51" s="448"/>
      <c r="G51" s="448"/>
      <c r="H51" s="448"/>
      <c r="I51" s="448"/>
    </row>
    <row r="52" ht="15.75" customHeight="1">
      <c r="B52" s="448"/>
      <c r="C52" s="448"/>
      <c r="D52" s="448"/>
      <c r="E52" s="448"/>
      <c r="F52" s="448"/>
      <c r="G52" s="448"/>
      <c r="H52" s="448"/>
      <c r="I52" s="448"/>
    </row>
    <row r="53" ht="15.75" customHeight="1">
      <c r="B53" s="448"/>
      <c r="C53" s="448"/>
      <c r="D53" s="448"/>
      <c r="E53" s="448"/>
      <c r="F53" s="448"/>
      <c r="G53" s="448"/>
      <c r="H53" s="448"/>
      <c r="I53" s="448"/>
    </row>
    <row r="54" ht="15.75" customHeight="1">
      <c r="B54" s="448"/>
      <c r="C54" s="448"/>
      <c r="D54" s="448"/>
      <c r="E54" s="448"/>
      <c r="F54" s="448"/>
      <c r="G54" s="448"/>
      <c r="H54" s="448"/>
      <c r="I54" s="448"/>
    </row>
    <row r="55" ht="15.75" customHeight="1">
      <c r="B55" s="448"/>
      <c r="C55" s="448"/>
      <c r="D55" s="448"/>
      <c r="E55" s="448"/>
      <c r="F55" s="448"/>
      <c r="G55" s="448"/>
      <c r="H55" s="448"/>
      <c r="I55" s="448"/>
    </row>
    <row r="56" ht="15.75" customHeight="1">
      <c r="B56" s="448"/>
      <c r="C56" s="448"/>
      <c r="D56" s="448"/>
      <c r="E56" s="448"/>
      <c r="F56" s="448"/>
      <c r="G56" s="448"/>
      <c r="H56" s="448"/>
      <c r="I56" s="448"/>
    </row>
    <row r="57" ht="15.75" customHeight="1">
      <c r="B57" s="448"/>
      <c r="C57" s="448"/>
      <c r="D57" s="448"/>
      <c r="E57" s="448"/>
      <c r="F57" s="448"/>
      <c r="G57" s="448"/>
      <c r="H57" s="448"/>
      <c r="I57" s="448"/>
    </row>
    <row r="58" ht="15.75" customHeight="1">
      <c r="B58" s="448"/>
      <c r="C58" s="448"/>
      <c r="D58" s="448"/>
      <c r="E58" s="448"/>
      <c r="F58" s="448"/>
      <c r="G58" s="448"/>
      <c r="H58" s="448"/>
      <c r="I58" s="448"/>
    </row>
    <row r="59" ht="15.75" customHeight="1">
      <c r="B59" s="448"/>
      <c r="C59" s="448"/>
      <c r="D59" s="448"/>
      <c r="E59" s="448"/>
      <c r="F59" s="448"/>
      <c r="G59" s="448"/>
      <c r="H59" s="448"/>
      <c r="I59" s="448"/>
    </row>
    <row r="60" ht="15.75" customHeight="1">
      <c r="B60" s="448"/>
      <c r="C60" s="448"/>
      <c r="D60" s="448"/>
      <c r="E60" s="448"/>
      <c r="F60" s="448"/>
      <c r="G60" s="448"/>
      <c r="H60" s="448"/>
      <c r="I60" s="448"/>
    </row>
    <row r="61" ht="15.75" customHeight="1">
      <c r="B61" s="448"/>
      <c r="C61" s="448"/>
      <c r="D61" s="448"/>
      <c r="E61" s="448"/>
      <c r="F61" s="448"/>
      <c r="G61" s="448"/>
      <c r="H61" s="448"/>
      <c r="I61" s="448"/>
    </row>
    <row r="62" ht="15.75" customHeight="1">
      <c r="B62" s="448"/>
      <c r="C62" s="448"/>
      <c r="D62" s="448"/>
      <c r="E62" s="448"/>
      <c r="F62" s="448"/>
      <c r="G62" s="448"/>
      <c r="H62" s="448"/>
      <c r="I62" s="448"/>
    </row>
    <row r="63" ht="15.75" customHeight="1">
      <c r="B63" s="448"/>
      <c r="C63" s="448"/>
      <c r="D63" s="448"/>
      <c r="E63" s="448"/>
      <c r="F63" s="448"/>
      <c r="G63" s="448"/>
      <c r="H63" s="448"/>
      <c r="I63" s="448"/>
    </row>
    <row r="64" ht="15.75" customHeight="1">
      <c r="B64" s="448"/>
      <c r="C64" s="448"/>
      <c r="D64" s="448"/>
      <c r="E64" s="448"/>
      <c r="F64" s="448"/>
      <c r="G64" s="448"/>
      <c r="H64" s="448"/>
      <c r="I64" s="448"/>
    </row>
    <row r="65" ht="15.75" customHeight="1">
      <c r="B65" s="448"/>
      <c r="C65" s="448"/>
      <c r="D65" s="448"/>
      <c r="E65" s="448"/>
      <c r="F65" s="448"/>
      <c r="G65" s="448"/>
      <c r="H65" s="448"/>
      <c r="I65" s="448"/>
    </row>
    <row r="66" ht="15.75" customHeight="1">
      <c r="B66" s="448"/>
      <c r="C66" s="448"/>
      <c r="D66" s="448"/>
      <c r="E66" s="448"/>
      <c r="F66" s="448"/>
      <c r="G66" s="448"/>
      <c r="H66" s="448"/>
      <c r="I66" s="448"/>
    </row>
    <row r="67" ht="15.75" customHeight="1">
      <c r="B67" s="448"/>
      <c r="C67" s="448"/>
      <c r="D67" s="448"/>
      <c r="E67" s="448"/>
      <c r="F67" s="448"/>
      <c r="G67" s="448"/>
      <c r="H67" s="448"/>
      <c r="I67" s="448"/>
    </row>
    <row r="68" ht="15.75" customHeight="1">
      <c r="B68" s="448"/>
      <c r="C68" s="448"/>
      <c r="D68" s="448"/>
      <c r="E68" s="448"/>
      <c r="F68" s="448"/>
      <c r="G68" s="448"/>
      <c r="H68" s="448"/>
      <c r="I68" s="448"/>
    </row>
    <row r="69" ht="15.75" customHeight="1">
      <c r="B69" s="448"/>
      <c r="C69" s="448"/>
      <c r="D69" s="448"/>
      <c r="E69" s="448"/>
      <c r="F69" s="448"/>
      <c r="G69" s="448"/>
      <c r="H69" s="448"/>
      <c r="I69" s="448"/>
    </row>
    <row r="70" ht="15.75" customHeight="1">
      <c r="B70" s="448"/>
      <c r="C70" s="448"/>
      <c r="D70" s="448"/>
      <c r="E70" s="448"/>
      <c r="F70" s="448"/>
      <c r="G70" s="448"/>
      <c r="H70" s="448"/>
      <c r="I70" s="448"/>
    </row>
    <row r="71" ht="15.75" customHeight="1">
      <c r="B71" s="448"/>
      <c r="C71" s="448"/>
      <c r="D71" s="448"/>
      <c r="E71" s="448"/>
      <c r="F71" s="448"/>
      <c r="G71" s="448"/>
      <c r="H71" s="448"/>
      <c r="I71" s="448"/>
    </row>
    <row r="72" ht="15.75" customHeight="1">
      <c r="B72" s="448"/>
      <c r="C72" s="448"/>
      <c r="D72" s="448"/>
      <c r="E72" s="448"/>
      <c r="F72" s="448"/>
      <c r="G72" s="448"/>
      <c r="H72" s="448"/>
      <c r="I72" s="448"/>
    </row>
    <row r="73" ht="15.75" customHeight="1">
      <c r="B73" s="448"/>
      <c r="C73" s="448"/>
      <c r="D73" s="448"/>
      <c r="E73" s="448"/>
      <c r="F73" s="448"/>
      <c r="G73" s="448"/>
      <c r="H73" s="448"/>
      <c r="I73" s="448"/>
    </row>
    <row r="74" ht="15.75" customHeight="1">
      <c r="B74" s="448"/>
      <c r="C74" s="448"/>
      <c r="D74" s="448"/>
      <c r="E74" s="448"/>
      <c r="F74" s="448"/>
      <c r="G74" s="448"/>
      <c r="H74" s="448"/>
      <c r="I74" s="448"/>
    </row>
    <row r="75" ht="15.75" customHeight="1">
      <c r="B75" s="448"/>
      <c r="C75" s="448"/>
      <c r="D75" s="448"/>
      <c r="E75" s="448"/>
      <c r="F75" s="448"/>
      <c r="G75" s="448"/>
      <c r="H75" s="448"/>
      <c r="I75" s="448"/>
    </row>
    <row r="76" ht="15.75" customHeight="1">
      <c r="B76" s="448"/>
      <c r="C76" s="448"/>
      <c r="D76" s="448"/>
      <c r="E76" s="448"/>
      <c r="F76" s="448"/>
      <c r="G76" s="448"/>
      <c r="H76" s="448"/>
      <c r="I76" s="448"/>
    </row>
    <row r="77" ht="15.75" customHeight="1">
      <c r="B77" s="448"/>
      <c r="C77" s="448"/>
      <c r="D77" s="448"/>
      <c r="E77" s="448"/>
      <c r="F77" s="448"/>
      <c r="G77" s="448"/>
      <c r="H77" s="448"/>
      <c r="I77" s="448"/>
    </row>
    <row r="78" ht="15.75" customHeight="1">
      <c r="B78" s="448"/>
      <c r="C78" s="448"/>
      <c r="D78" s="448"/>
      <c r="E78" s="448"/>
      <c r="F78" s="448"/>
      <c r="G78" s="448"/>
      <c r="H78" s="448"/>
      <c r="I78" s="448"/>
    </row>
    <row r="79" ht="15.75" customHeight="1">
      <c r="B79" s="448"/>
      <c r="C79" s="448"/>
      <c r="D79" s="448"/>
      <c r="E79" s="448"/>
      <c r="F79" s="448"/>
      <c r="G79" s="448"/>
      <c r="H79" s="448"/>
      <c r="I79" s="448"/>
    </row>
    <row r="80" ht="15.75" customHeight="1">
      <c r="B80" s="448"/>
      <c r="C80" s="448"/>
      <c r="D80" s="448"/>
      <c r="E80" s="448"/>
      <c r="F80" s="448"/>
      <c r="G80" s="448"/>
      <c r="H80" s="448"/>
      <c r="I80" s="448"/>
    </row>
    <row r="81" ht="15.75" customHeight="1">
      <c r="B81" s="448"/>
      <c r="C81" s="448"/>
      <c r="D81" s="448"/>
      <c r="E81" s="448"/>
      <c r="F81" s="448"/>
      <c r="G81" s="448"/>
      <c r="H81" s="448"/>
      <c r="I81" s="448"/>
    </row>
    <row r="82" ht="15.75" customHeight="1">
      <c r="B82" s="448"/>
      <c r="C82" s="448"/>
      <c r="D82" s="448"/>
      <c r="E82" s="448"/>
      <c r="F82" s="448"/>
      <c r="G82" s="448"/>
      <c r="H82" s="448"/>
      <c r="I82" s="448"/>
    </row>
    <row r="83" ht="15.75" customHeight="1">
      <c r="B83" s="448"/>
      <c r="C83" s="448"/>
      <c r="D83" s="448"/>
      <c r="E83" s="448"/>
      <c r="F83" s="448"/>
      <c r="G83" s="448"/>
      <c r="H83" s="448"/>
      <c r="I83" s="448"/>
    </row>
    <row r="84" ht="15.75" customHeight="1">
      <c r="B84" s="448"/>
      <c r="C84" s="448"/>
      <c r="D84" s="448"/>
      <c r="E84" s="448"/>
      <c r="F84" s="448"/>
      <c r="G84" s="448"/>
      <c r="H84" s="448"/>
      <c r="I84" s="448"/>
    </row>
    <row r="85" ht="15.75" customHeight="1">
      <c r="B85" s="448"/>
      <c r="C85" s="448"/>
      <c r="D85" s="448"/>
      <c r="E85" s="448"/>
      <c r="F85" s="448"/>
      <c r="G85" s="448"/>
      <c r="H85" s="448"/>
      <c r="I85" s="448"/>
    </row>
    <row r="86" ht="15.75" customHeight="1">
      <c r="B86" s="448"/>
      <c r="C86" s="448"/>
      <c r="D86" s="448"/>
      <c r="E86" s="448"/>
      <c r="F86" s="448"/>
      <c r="G86" s="448"/>
      <c r="H86" s="448"/>
      <c r="I86" s="448"/>
    </row>
    <row r="87" ht="15.75" customHeight="1">
      <c r="B87" s="448"/>
      <c r="C87" s="448"/>
      <c r="D87" s="448"/>
      <c r="E87" s="448"/>
      <c r="F87" s="448"/>
      <c r="G87" s="448"/>
      <c r="H87" s="448"/>
      <c r="I87" s="448"/>
    </row>
    <row r="88" ht="15.75" customHeight="1">
      <c r="B88" s="448"/>
      <c r="C88" s="448"/>
      <c r="D88" s="448"/>
      <c r="E88" s="448"/>
      <c r="F88" s="448"/>
      <c r="G88" s="448"/>
      <c r="H88" s="448"/>
      <c r="I88" s="448"/>
    </row>
    <row r="89" ht="15.75" customHeight="1">
      <c r="B89" s="448"/>
      <c r="C89" s="448"/>
      <c r="D89" s="448"/>
      <c r="E89" s="448"/>
      <c r="F89" s="448"/>
      <c r="G89" s="448"/>
      <c r="H89" s="448"/>
      <c r="I89" s="448"/>
    </row>
    <row r="90" ht="15.75" customHeight="1">
      <c r="B90" s="448"/>
      <c r="C90" s="448"/>
      <c r="D90" s="448"/>
      <c r="E90" s="448"/>
      <c r="F90" s="448"/>
      <c r="G90" s="448"/>
      <c r="H90" s="448"/>
      <c r="I90" s="448"/>
    </row>
    <row r="91" ht="15.75" customHeight="1">
      <c r="B91" s="448"/>
      <c r="C91" s="448"/>
      <c r="D91" s="448"/>
      <c r="E91" s="448"/>
      <c r="F91" s="448"/>
      <c r="G91" s="448"/>
      <c r="H91" s="448"/>
      <c r="I91" s="448"/>
    </row>
    <row r="92" ht="15.75" customHeight="1">
      <c r="B92" s="448"/>
      <c r="C92" s="448"/>
      <c r="D92" s="448"/>
      <c r="E92" s="448"/>
      <c r="F92" s="448"/>
      <c r="G92" s="448"/>
      <c r="H92" s="448"/>
      <c r="I92" s="448"/>
    </row>
    <row r="93" ht="15.75" customHeight="1">
      <c r="B93" s="448"/>
      <c r="C93" s="448"/>
      <c r="D93" s="448"/>
      <c r="E93" s="448"/>
      <c r="F93" s="448"/>
      <c r="G93" s="448"/>
      <c r="H93" s="448"/>
      <c r="I93" s="448"/>
    </row>
    <row r="94" ht="15.75" customHeight="1">
      <c r="B94" s="448"/>
      <c r="C94" s="448"/>
      <c r="D94" s="448"/>
      <c r="E94" s="448"/>
      <c r="F94" s="448"/>
      <c r="G94" s="448"/>
      <c r="H94" s="448"/>
      <c r="I94" s="448"/>
    </row>
    <row r="95" ht="15.75" customHeight="1">
      <c r="B95" s="448"/>
      <c r="C95" s="448"/>
      <c r="D95" s="448"/>
      <c r="E95" s="448"/>
      <c r="F95" s="448"/>
      <c r="G95" s="448"/>
      <c r="H95" s="448"/>
      <c r="I95" s="448"/>
    </row>
    <row r="96" ht="15.75" customHeight="1">
      <c r="B96" s="448"/>
      <c r="C96" s="448"/>
      <c r="D96" s="448"/>
      <c r="E96" s="448"/>
      <c r="F96" s="448"/>
      <c r="G96" s="448"/>
      <c r="H96" s="448"/>
      <c r="I96" s="448"/>
    </row>
    <row r="97" ht="15.75" customHeight="1">
      <c r="B97" s="448"/>
      <c r="C97" s="448"/>
      <c r="D97" s="448"/>
      <c r="E97" s="448"/>
      <c r="F97" s="448"/>
      <c r="G97" s="448"/>
      <c r="H97" s="448"/>
      <c r="I97" s="448"/>
    </row>
    <row r="98" ht="15.75" customHeight="1">
      <c r="B98" s="448"/>
      <c r="C98" s="448"/>
      <c r="D98" s="448"/>
      <c r="E98" s="448"/>
      <c r="F98" s="448"/>
      <c r="G98" s="448"/>
      <c r="H98" s="448"/>
      <c r="I98" s="448"/>
    </row>
    <row r="99" ht="15.75" customHeight="1">
      <c r="B99" s="448"/>
      <c r="C99" s="448"/>
      <c r="D99" s="448"/>
      <c r="E99" s="448"/>
      <c r="F99" s="448"/>
      <c r="G99" s="448"/>
      <c r="H99" s="448"/>
      <c r="I99" s="448"/>
    </row>
    <row r="100" ht="15.75" customHeight="1">
      <c r="B100" s="448"/>
      <c r="C100" s="448"/>
      <c r="D100" s="448"/>
      <c r="E100" s="448"/>
      <c r="F100" s="448"/>
      <c r="G100" s="448"/>
      <c r="H100" s="448"/>
      <c r="I100" s="448"/>
    </row>
    <row r="101" ht="15.75" customHeight="1">
      <c r="B101" s="448"/>
      <c r="C101" s="448"/>
      <c r="D101" s="448"/>
      <c r="E101" s="448"/>
      <c r="F101" s="448"/>
      <c r="G101" s="448"/>
      <c r="H101" s="448"/>
      <c r="I101" s="448"/>
    </row>
    <row r="102" ht="15.75" customHeight="1">
      <c r="B102" s="448"/>
      <c r="C102" s="448"/>
      <c r="D102" s="448"/>
      <c r="E102" s="448"/>
      <c r="F102" s="448"/>
      <c r="G102" s="448"/>
      <c r="H102" s="448"/>
      <c r="I102" s="448"/>
    </row>
    <row r="103" ht="15.75" customHeight="1">
      <c r="B103" s="448"/>
      <c r="C103" s="448"/>
      <c r="D103" s="448"/>
      <c r="E103" s="448"/>
      <c r="F103" s="448"/>
      <c r="G103" s="448"/>
      <c r="H103" s="448"/>
      <c r="I103" s="448"/>
    </row>
    <row r="104" ht="15.75" customHeight="1">
      <c r="B104" s="448"/>
      <c r="C104" s="448"/>
      <c r="D104" s="448"/>
      <c r="E104" s="448"/>
      <c r="F104" s="448"/>
      <c r="G104" s="448"/>
      <c r="H104" s="448"/>
      <c r="I104" s="448"/>
    </row>
    <row r="105" ht="15.75" customHeight="1">
      <c r="B105" s="448"/>
      <c r="C105" s="448"/>
      <c r="D105" s="448"/>
      <c r="E105" s="448"/>
      <c r="F105" s="448"/>
      <c r="G105" s="448"/>
      <c r="H105" s="448"/>
      <c r="I105" s="448"/>
    </row>
    <row r="106" ht="15.75" customHeight="1">
      <c r="B106" s="448"/>
      <c r="C106" s="448"/>
      <c r="D106" s="448"/>
      <c r="E106" s="448"/>
      <c r="F106" s="448"/>
      <c r="G106" s="448"/>
      <c r="H106" s="448"/>
      <c r="I106" s="448"/>
    </row>
    <row r="107" ht="15.75" customHeight="1">
      <c r="B107" s="448"/>
      <c r="C107" s="448"/>
      <c r="D107" s="448"/>
      <c r="E107" s="448"/>
      <c r="F107" s="448"/>
      <c r="G107" s="448"/>
      <c r="H107" s="448"/>
      <c r="I107" s="448"/>
    </row>
    <row r="108" ht="15.75" customHeight="1">
      <c r="B108" s="448"/>
      <c r="C108" s="448"/>
      <c r="D108" s="448"/>
      <c r="E108" s="448"/>
      <c r="F108" s="448"/>
      <c r="G108" s="448"/>
      <c r="H108" s="448"/>
      <c r="I108" s="448"/>
    </row>
    <row r="109" ht="15.75" customHeight="1">
      <c r="B109" s="448"/>
      <c r="C109" s="448"/>
      <c r="D109" s="448"/>
      <c r="E109" s="448"/>
      <c r="F109" s="448"/>
      <c r="G109" s="448"/>
      <c r="H109" s="448"/>
      <c r="I109" s="448"/>
    </row>
    <row r="110" ht="15.75" customHeight="1">
      <c r="B110" s="448"/>
      <c r="C110" s="448"/>
      <c r="D110" s="448"/>
      <c r="E110" s="448"/>
      <c r="F110" s="448"/>
      <c r="G110" s="448"/>
      <c r="H110" s="448"/>
      <c r="I110" s="448"/>
    </row>
    <row r="111" ht="15.75" customHeight="1">
      <c r="B111" s="448"/>
      <c r="C111" s="448"/>
      <c r="D111" s="448"/>
      <c r="E111" s="448"/>
      <c r="F111" s="448"/>
      <c r="G111" s="448"/>
      <c r="H111" s="448"/>
      <c r="I111" s="448"/>
    </row>
    <row r="112" ht="15.75" customHeight="1">
      <c r="B112" s="448"/>
      <c r="C112" s="448"/>
      <c r="D112" s="448"/>
      <c r="E112" s="448"/>
      <c r="F112" s="448"/>
      <c r="G112" s="448"/>
      <c r="H112" s="448"/>
      <c r="I112" s="448"/>
    </row>
    <row r="113" ht="15.75" customHeight="1">
      <c r="B113" s="448"/>
      <c r="C113" s="448"/>
      <c r="D113" s="448"/>
      <c r="E113" s="448"/>
      <c r="F113" s="448"/>
      <c r="G113" s="448"/>
      <c r="H113" s="448"/>
      <c r="I113" s="448"/>
    </row>
    <row r="114" ht="15.75" customHeight="1">
      <c r="B114" s="448"/>
      <c r="C114" s="448"/>
      <c r="D114" s="448"/>
      <c r="E114" s="448"/>
      <c r="F114" s="448"/>
      <c r="G114" s="448"/>
      <c r="H114" s="448"/>
      <c r="I114" s="448"/>
    </row>
    <row r="115" ht="15.75" customHeight="1">
      <c r="B115" s="448"/>
      <c r="C115" s="448"/>
      <c r="D115" s="448"/>
      <c r="E115" s="448"/>
      <c r="F115" s="448"/>
      <c r="G115" s="448"/>
      <c r="H115" s="448"/>
      <c r="I115" s="448"/>
    </row>
    <row r="116" ht="15.75" customHeight="1">
      <c r="B116" s="448"/>
      <c r="C116" s="448"/>
      <c r="D116" s="448"/>
      <c r="E116" s="448"/>
      <c r="F116" s="448"/>
      <c r="G116" s="448"/>
      <c r="H116" s="448"/>
      <c r="I116" s="448"/>
    </row>
    <row r="117" ht="15.75" customHeight="1">
      <c r="B117" s="448"/>
      <c r="C117" s="448"/>
      <c r="D117" s="448"/>
      <c r="E117" s="448"/>
      <c r="F117" s="448"/>
      <c r="G117" s="448"/>
      <c r="H117" s="448"/>
      <c r="I117" s="448"/>
    </row>
    <row r="118" ht="15.75" customHeight="1">
      <c r="B118" s="448"/>
      <c r="C118" s="448"/>
      <c r="D118" s="448"/>
      <c r="E118" s="448"/>
      <c r="F118" s="448"/>
      <c r="G118" s="448"/>
      <c r="H118" s="448"/>
      <c r="I118" s="448"/>
    </row>
    <row r="119" ht="15.75" customHeight="1">
      <c r="B119" s="448"/>
      <c r="C119" s="448"/>
      <c r="D119" s="448"/>
      <c r="E119" s="448"/>
      <c r="F119" s="448"/>
      <c r="G119" s="448"/>
      <c r="H119" s="448"/>
      <c r="I119" s="448"/>
    </row>
    <row r="120" ht="15.75" customHeight="1">
      <c r="B120" s="448"/>
      <c r="C120" s="448"/>
      <c r="D120" s="448"/>
      <c r="E120" s="448"/>
      <c r="F120" s="448"/>
      <c r="G120" s="448"/>
      <c r="H120" s="448"/>
      <c r="I120" s="448"/>
    </row>
    <row r="121" ht="15.75" customHeight="1">
      <c r="B121" s="448"/>
      <c r="C121" s="448"/>
      <c r="D121" s="448"/>
      <c r="E121" s="448"/>
      <c r="F121" s="448"/>
      <c r="G121" s="448"/>
      <c r="H121" s="448"/>
      <c r="I121" s="448"/>
    </row>
    <row r="122" ht="15.75" customHeight="1">
      <c r="B122" s="448"/>
      <c r="C122" s="448"/>
      <c r="D122" s="448"/>
      <c r="E122" s="448"/>
      <c r="F122" s="448"/>
      <c r="G122" s="448"/>
      <c r="H122" s="448"/>
      <c r="I122" s="448"/>
    </row>
    <row r="123" ht="15.75" customHeight="1">
      <c r="B123" s="448"/>
      <c r="C123" s="448"/>
      <c r="D123" s="448"/>
      <c r="E123" s="448"/>
      <c r="F123" s="448"/>
      <c r="G123" s="448"/>
      <c r="H123" s="448"/>
      <c r="I123" s="448"/>
    </row>
    <row r="124" ht="15.75" customHeight="1">
      <c r="B124" s="448"/>
      <c r="C124" s="448"/>
      <c r="D124" s="448"/>
      <c r="E124" s="448"/>
      <c r="F124" s="448"/>
      <c r="G124" s="448"/>
      <c r="H124" s="448"/>
      <c r="I124" s="448"/>
    </row>
    <row r="125" ht="15.75" customHeight="1">
      <c r="B125" s="448"/>
      <c r="C125" s="448"/>
      <c r="D125" s="448"/>
      <c r="E125" s="448"/>
      <c r="F125" s="448"/>
      <c r="G125" s="448"/>
      <c r="H125" s="448"/>
      <c r="I125" s="448"/>
    </row>
    <row r="126" ht="15.75" customHeight="1">
      <c r="B126" s="448"/>
      <c r="C126" s="448"/>
      <c r="D126" s="448"/>
      <c r="E126" s="448"/>
      <c r="F126" s="448"/>
      <c r="G126" s="448"/>
      <c r="H126" s="448"/>
      <c r="I126" s="448"/>
    </row>
    <row r="127" ht="15.75" customHeight="1">
      <c r="B127" s="448"/>
      <c r="C127" s="448"/>
      <c r="D127" s="448"/>
      <c r="E127" s="448"/>
      <c r="F127" s="448"/>
      <c r="G127" s="448"/>
      <c r="H127" s="448"/>
      <c r="I127" s="448"/>
    </row>
    <row r="128" ht="15.75" customHeight="1">
      <c r="B128" s="448"/>
      <c r="C128" s="448"/>
      <c r="D128" s="448"/>
      <c r="E128" s="448"/>
      <c r="F128" s="448"/>
      <c r="G128" s="448"/>
      <c r="H128" s="448"/>
      <c r="I128" s="448"/>
    </row>
    <row r="129" ht="15.75" customHeight="1">
      <c r="B129" s="448"/>
      <c r="C129" s="448"/>
      <c r="D129" s="448"/>
      <c r="E129" s="448"/>
      <c r="F129" s="448"/>
      <c r="G129" s="448"/>
      <c r="H129" s="448"/>
      <c r="I129" s="448"/>
    </row>
    <row r="130" ht="15.75" customHeight="1">
      <c r="B130" s="448"/>
      <c r="C130" s="448"/>
      <c r="D130" s="448"/>
      <c r="E130" s="448"/>
      <c r="F130" s="448"/>
      <c r="G130" s="448"/>
      <c r="H130" s="448"/>
      <c r="I130" s="448"/>
    </row>
    <row r="131" ht="15.75" customHeight="1">
      <c r="B131" s="448"/>
      <c r="C131" s="448"/>
      <c r="D131" s="448"/>
      <c r="E131" s="448"/>
      <c r="F131" s="448"/>
      <c r="G131" s="448"/>
      <c r="H131" s="448"/>
      <c r="I131" s="448"/>
    </row>
    <row r="132" ht="15.75" customHeight="1">
      <c r="B132" s="448"/>
      <c r="C132" s="448"/>
      <c r="D132" s="448"/>
      <c r="E132" s="448"/>
      <c r="F132" s="448"/>
      <c r="G132" s="448"/>
      <c r="H132" s="448"/>
      <c r="I132" s="448"/>
    </row>
    <row r="133" ht="15.75" customHeight="1">
      <c r="B133" s="448"/>
      <c r="C133" s="448"/>
      <c r="D133" s="448"/>
      <c r="E133" s="448"/>
      <c r="F133" s="448"/>
      <c r="G133" s="448"/>
      <c r="H133" s="448"/>
      <c r="I133" s="448"/>
    </row>
    <row r="134" ht="15.75" customHeight="1">
      <c r="B134" s="448"/>
      <c r="C134" s="448"/>
      <c r="D134" s="448"/>
      <c r="E134" s="448"/>
      <c r="F134" s="448"/>
      <c r="G134" s="448"/>
      <c r="H134" s="448"/>
      <c r="I134" s="448"/>
    </row>
    <row r="135" ht="15.75" customHeight="1">
      <c r="B135" s="448"/>
      <c r="C135" s="448"/>
      <c r="D135" s="448"/>
      <c r="E135" s="448"/>
      <c r="F135" s="448"/>
      <c r="G135" s="448"/>
      <c r="H135" s="448"/>
      <c r="I135" s="448"/>
    </row>
    <row r="136" ht="15.75" customHeight="1">
      <c r="B136" s="448"/>
      <c r="C136" s="448"/>
      <c r="D136" s="448"/>
      <c r="E136" s="448"/>
      <c r="F136" s="448"/>
      <c r="G136" s="448"/>
      <c r="H136" s="448"/>
      <c r="I136" s="448"/>
    </row>
    <row r="137" ht="15.75" customHeight="1">
      <c r="B137" s="448"/>
      <c r="C137" s="448"/>
      <c r="D137" s="448"/>
      <c r="E137" s="448"/>
      <c r="F137" s="448"/>
      <c r="G137" s="448"/>
      <c r="H137" s="448"/>
      <c r="I137" s="448"/>
    </row>
    <row r="138" ht="15.75" customHeight="1">
      <c r="B138" s="448"/>
      <c r="C138" s="448"/>
      <c r="D138" s="448"/>
      <c r="E138" s="448"/>
      <c r="F138" s="448"/>
      <c r="G138" s="448"/>
      <c r="H138" s="448"/>
      <c r="I138" s="448"/>
    </row>
    <row r="139" ht="15.75" customHeight="1">
      <c r="B139" s="448"/>
      <c r="C139" s="448"/>
      <c r="D139" s="448"/>
      <c r="E139" s="448"/>
      <c r="F139" s="448"/>
      <c r="G139" s="448"/>
      <c r="H139" s="448"/>
      <c r="I139" s="448"/>
    </row>
    <row r="140" ht="15.75" customHeight="1">
      <c r="B140" s="448"/>
      <c r="C140" s="448"/>
      <c r="D140" s="448"/>
      <c r="E140" s="448"/>
      <c r="F140" s="448"/>
      <c r="G140" s="448"/>
      <c r="H140" s="448"/>
      <c r="I140" s="448"/>
    </row>
    <row r="141" ht="15.75" customHeight="1">
      <c r="B141" s="448"/>
      <c r="C141" s="448"/>
      <c r="D141" s="448"/>
      <c r="E141" s="448"/>
      <c r="F141" s="448"/>
      <c r="G141" s="448"/>
      <c r="H141" s="448"/>
      <c r="I141" s="448"/>
    </row>
    <row r="142" ht="15.75" customHeight="1">
      <c r="B142" s="448"/>
      <c r="C142" s="448"/>
      <c r="D142" s="448"/>
      <c r="E142" s="448"/>
      <c r="F142" s="448"/>
      <c r="G142" s="448"/>
      <c r="H142" s="448"/>
      <c r="I142" s="448"/>
    </row>
    <row r="143" ht="15.75" customHeight="1">
      <c r="B143" s="448"/>
      <c r="C143" s="448"/>
      <c r="D143" s="448"/>
      <c r="E143" s="448"/>
      <c r="F143" s="448"/>
      <c r="G143" s="448"/>
      <c r="H143" s="448"/>
      <c r="I143" s="448"/>
    </row>
    <row r="144" ht="15.75" customHeight="1">
      <c r="B144" s="448"/>
      <c r="C144" s="448"/>
      <c r="D144" s="448"/>
      <c r="E144" s="448"/>
      <c r="F144" s="448"/>
      <c r="G144" s="448"/>
      <c r="H144" s="448"/>
      <c r="I144" s="448"/>
    </row>
    <row r="145" ht="15.75" customHeight="1">
      <c r="B145" s="448"/>
      <c r="C145" s="448"/>
      <c r="D145" s="448"/>
      <c r="E145" s="448"/>
      <c r="F145" s="448"/>
      <c r="G145" s="448"/>
      <c r="H145" s="448"/>
      <c r="I145" s="448"/>
    </row>
    <row r="146" ht="15.75" customHeight="1">
      <c r="B146" s="448"/>
      <c r="C146" s="448"/>
      <c r="D146" s="448"/>
      <c r="E146" s="448"/>
      <c r="F146" s="448"/>
      <c r="G146" s="448"/>
      <c r="H146" s="448"/>
      <c r="I146" s="448"/>
    </row>
    <row r="147" ht="15.75" customHeight="1">
      <c r="B147" s="448"/>
      <c r="C147" s="448"/>
      <c r="D147" s="448"/>
      <c r="E147" s="448"/>
      <c r="F147" s="448"/>
      <c r="G147" s="448"/>
      <c r="H147" s="448"/>
      <c r="I147" s="448"/>
    </row>
    <row r="148" ht="15.75" customHeight="1">
      <c r="B148" s="448"/>
      <c r="C148" s="448"/>
      <c r="D148" s="448"/>
      <c r="E148" s="448"/>
      <c r="F148" s="448"/>
      <c r="G148" s="448"/>
      <c r="H148" s="448"/>
      <c r="I148" s="448"/>
    </row>
    <row r="149" ht="15.75" customHeight="1">
      <c r="B149" s="448"/>
      <c r="C149" s="448"/>
      <c r="D149" s="448"/>
      <c r="E149" s="448"/>
      <c r="F149" s="448"/>
      <c r="G149" s="448"/>
      <c r="H149" s="448"/>
      <c r="I149" s="448"/>
    </row>
    <row r="150" ht="15.75" customHeight="1">
      <c r="B150" s="448"/>
      <c r="C150" s="448"/>
      <c r="D150" s="448"/>
      <c r="E150" s="448"/>
      <c r="F150" s="448"/>
      <c r="G150" s="448"/>
      <c r="H150" s="448"/>
      <c r="I150" s="448"/>
    </row>
    <row r="151" ht="15.75" customHeight="1">
      <c r="B151" s="448"/>
      <c r="C151" s="448"/>
      <c r="D151" s="448"/>
      <c r="E151" s="448"/>
      <c r="F151" s="448"/>
      <c r="G151" s="448"/>
      <c r="H151" s="448"/>
      <c r="I151" s="448"/>
    </row>
    <row r="152" ht="15.75" customHeight="1">
      <c r="B152" s="448"/>
      <c r="C152" s="448"/>
      <c r="D152" s="448"/>
      <c r="E152" s="448"/>
      <c r="F152" s="448"/>
      <c r="G152" s="448"/>
      <c r="H152" s="448"/>
      <c r="I152" s="448"/>
    </row>
    <row r="153" ht="15.75" customHeight="1">
      <c r="B153" s="448"/>
      <c r="C153" s="448"/>
      <c r="D153" s="448"/>
      <c r="E153" s="448"/>
      <c r="F153" s="448"/>
      <c r="G153" s="448"/>
      <c r="H153" s="448"/>
      <c r="I153" s="448"/>
    </row>
    <row r="154" ht="15.75" customHeight="1">
      <c r="B154" s="448"/>
      <c r="C154" s="448"/>
      <c r="D154" s="448"/>
      <c r="E154" s="448"/>
      <c r="F154" s="448"/>
      <c r="G154" s="448"/>
      <c r="H154" s="448"/>
      <c r="I154" s="448"/>
    </row>
    <row r="155" ht="15.75" customHeight="1">
      <c r="B155" s="448"/>
      <c r="C155" s="448"/>
      <c r="D155" s="448"/>
      <c r="E155" s="448"/>
      <c r="F155" s="448"/>
      <c r="G155" s="448"/>
      <c r="H155" s="448"/>
      <c r="I155" s="448"/>
    </row>
    <row r="156" ht="15.75" customHeight="1">
      <c r="B156" s="448"/>
      <c r="C156" s="448"/>
      <c r="D156" s="448"/>
      <c r="E156" s="448"/>
      <c r="F156" s="448"/>
      <c r="G156" s="448"/>
      <c r="H156" s="448"/>
      <c r="I156" s="448"/>
    </row>
    <row r="157" ht="15.75" customHeight="1">
      <c r="B157" s="448"/>
      <c r="C157" s="448"/>
      <c r="D157" s="448"/>
      <c r="E157" s="448"/>
      <c r="F157" s="448"/>
      <c r="G157" s="448"/>
      <c r="H157" s="448"/>
      <c r="I157" s="448"/>
    </row>
    <row r="158" ht="15.75" customHeight="1">
      <c r="B158" s="448"/>
      <c r="C158" s="448"/>
      <c r="D158" s="448"/>
      <c r="E158" s="448"/>
      <c r="F158" s="448"/>
      <c r="G158" s="448"/>
      <c r="H158" s="448"/>
      <c r="I158" s="448"/>
    </row>
    <row r="159" ht="15.75" customHeight="1">
      <c r="B159" s="448"/>
      <c r="C159" s="448"/>
      <c r="D159" s="448"/>
      <c r="E159" s="448"/>
      <c r="F159" s="448"/>
      <c r="G159" s="448"/>
      <c r="H159" s="448"/>
      <c r="I159" s="448"/>
    </row>
    <row r="160" ht="15.75" customHeight="1">
      <c r="B160" s="448"/>
      <c r="C160" s="448"/>
      <c r="D160" s="448"/>
      <c r="E160" s="448"/>
      <c r="F160" s="448"/>
      <c r="G160" s="448"/>
      <c r="H160" s="448"/>
      <c r="I160" s="448"/>
    </row>
    <row r="161" ht="15.75" customHeight="1">
      <c r="B161" s="448"/>
      <c r="C161" s="448"/>
      <c r="D161" s="448"/>
      <c r="E161" s="448"/>
      <c r="F161" s="448"/>
      <c r="G161" s="448"/>
      <c r="H161" s="448"/>
      <c r="I161" s="448"/>
    </row>
    <row r="162" ht="15.75" customHeight="1">
      <c r="B162" s="448"/>
      <c r="C162" s="448"/>
      <c r="D162" s="448"/>
      <c r="E162" s="448"/>
      <c r="F162" s="448"/>
      <c r="G162" s="448"/>
      <c r="H162" s="448"/>
      <c r="I162" s="448"/>
    </row>
    <row r="163" ht="15.75" customHeight="1">
      <c r="B163" s="448"/>
      <c r="C163" s="448"/>
      <c r="D163" s="448"/>
      <c r="E163" s="448"/>
      <c r="F163" s="448"/>
      <c r="G163" s="448"/>
      <c r="H163" s="448"/>
      <c r="I163" s="448"/>
    </row>
    <row r="164" ht="15.75" customHeight="1">
      <c r="B164" s="448"/>
      <c r="C164" s="448"/>
      <c r="D164" s="448"/>
      <c r="E164" s="448"/>
      <c r="F164" s="448"/>
      <c r="G164" s="448"/>
      <c r="H164" s="448"/>
      <c r="I164" s="448"/>
    </row>
    <row r="165" ht="15.75" customHeight="1">
      <c r="B165" s="448"/>
      <c r="C165" s="448"/>
      <c r="D165" s="448"/>
      <c r="E165" s="448"/>
      <c r="F165" s="448"/>
      <c r="G165" s="448"/>
      <c r="H165" s="448"/>
      <c r="I165" s="448"/>
    </row>
    <row r="166" ht="15.75" customHeight="1">
      <c r="B166" s="448"/>
      <c r="C166" s="448"/>
      <c r="D166" s="448"/>
      <c r="E166" s="448"/>
      <c r="F166" s="448"/>
      <c r="G166" s="448"/>
      <c r="H166" s="448"/>
      <c r="I166" s="448"/>
    </row>
    <row r="167" ht="15.75" customHeight="1">
      <c r="B167" s="448"/>
      <c r="C167" s="448"/>
      <c r="D167" s="448"/>
      <c r="E167" s="448"/>
      <c r="F167" s="448"/>
      <c r="G167" s="448"/>
      <c r="H167" s="448"/>
      <c r="I167" s="448"/>
    </row>
    <row r="168" ht="15.75" customHeight="1">
      <c r="B168" s="448"/>
      <c r="C168" s="448"/>
      <c r="D168" s="448"/>
      <c r="E168" s="448"/>
      <c r="F168" s="448"/>
      <c r="G168" s="448"/>
      <c r="H168" s="448"/>
      <c r="I168" s="448"/>
    </row>
    <row r="169" ht="15.75" customHeight="1">
      <c r="B169" s="448"/>
      <c r="C169" s="448"/>
      <c r="D169" s="448"/>
      <c r="E169" s="448"/>
      <c r="F169" s="448"/>
      <c r="G169" s="448"/>
      <c r="H169" s="448"/>
      <c r="I169" s="448"/>
    </row>
    <row r="170" ht="15.75" customHeight="1">
      <c r="B170" s="448"/>
      <c r="C170" s="448"/>
      <c r="D170" s="448"/>
      <c r="E170" s="448"/>
      <c r="F170" s="448"/>
      <c r="G170" s="448"/>
      <c r="H170" s="448"/>
      <c r="I170" s="448"/>
    </row>
    <row r="171" ht="15.75" customHeight="1">
      <c r="B171" s="448"/>
      <c r="C171" s="448"/>
      <c r="D171" s="448"/>
      <c r="E171" s="448"/>
      <c r="F171" s="448"/>
      <c r="G171" s="448"/>
      <c r="H171" s="448"/>
      <c r="I171" s="448"/>
    </row>
    <row r="172" ht="15.75" customHeight="1">
      <c r="B172" s="448"/>
      <c r="C172" s="448"/>
      <c r="D172" s="448"/>
      <c r="E172" s="448"/>
      <c r="F172" s="448"/>
      <c r="G172" s="448"/>
      <c r="H172" s="448"/>
      <c r="I172" s="448"/>
    </row>
    <row r="173" ht="15.75" customHeight="1">
      <c r="B173" s="448"/>
      <c r="C173" s="448"/>
      <c r="D173" s="448"/>
      <c r="E173" s="448"/>
      <c r="F173" s="448"/>
      <c r="G173" s="448"/>
      <c r="H173" s="448"/>
      <c r="I173" s="448"/>
    </row>
    <row r="174" ht="15.75" customHeight="1">
      <c r="B174" s="448"/>
      <c r="C174" s="448"/>
      <c r="D174" s="448"/>
      <c r="E174" s="448"/>
      <c r="F174" s="448"/>
      <c r="G174" s="448"/>
      <c r="H174" s="448"/>
      <c r="I174" s="448"/>
    </row>
    <row r="175" ht="15.75" customHeight="1">
      <c r="B175" s="448"/>
      <c r="C175" s="448"/>
      <c r="D175" s="448"/>
      <c r="E175" s="448"/>
      <c r="F175" s="448"/>
      <c r="G175" s="448"/>
      <c r="H175" s="448"/>
      <c r="I175" s="448"/>
    </row>
    <row r="176" ht="15.75" customHeight="1">
      <c r="B176" s="448"/>
      <c r="C176" s="448"/>
      <c r="D176" s="448"/>
      <c r="E176" s="448"/>
      <c r="F176" s="448"/>
      <c r="G176" s="448"/>
      <c r="H176" s="448"/>
      <c r="I176" s="448"/>
    </row>
    <row r="177" ht="15.75" customHeight="1">
      <c r="B177" s="448"/>
      <c r="C177" s="448"/>
      <c r="D177" s="448"/>
      <c r="E177" s="448"/>
      <c r="F177" s="448"/>
      <c r="G177" s="448"/>
      <c r="H177" s="448"/>
      <c r="I177" s="448"/>
    </row>
    <row r="178" ht="15.75" customHeight="1">
      <c r="B178" s="448"/>
      <c r="C178" s="448"/>
      <c r="D178" s="448"/>
      <c r="E178" s="448"/>
      <c r="F178" s="448"/>
      <c r="G178" s="448"/>
      <c r="H178" s="448"/>
      <c r="I178" s="448"/>
    </row>
    <row r="179" ht="15.75" customHeight="1">
      <c r="B179" s="448"/>
      <c r="C179" s="448"/>
      <c r="D179" s="448"/>
      <c r="E179" s="448"/>
      <c r="F179" s="448"/>
      <c r="G179" s="448"/>
      <c r="H179" s="448"/>
      <c r="I179" s="448"/>
    </row>
    <row r="180" ht="15.75" customHeight="1">
      <c r="B180" s="448"/>
      <c r="C180" s="448"/>
      <c r="D180" s="448"/>
      <c r="E180" s="448"/>
      <c r="F180" s="448"/>
      <c r="G180" s="448"/>
      <c r="H180" s="448"/>
      <c r="I180" s="448"/>
    </row>
    <row r="181" ht="15.75" customHeight="1">
      <c r="B181" s="448"/>
      <c r="C181" s="448"/>
      <c r="D181" s="448"/>
      <c r="E181" s="448"/>
      <c r="F181" s="448"/>
      <c r="G181" s="448"/>
      <c r="H181" s="448"/>
      <c r="I181" s="448"/>
    </row>
    <row r="182" ht="15.75" customHeight="1">
      <c r="B182" s="448"/>
      <c r="C182" s="448"/>
      <c r="D182" s="448"/>
      <c r="E182" s="448"/>
      <c r="F182" s="448"/>
      <c r="G182" s="448"/>
      <c r="H182" s="448"/>
      <c r="I182" s="448"/>
    </row>
    <row r="183" ht="15.75" customHeight="1">
      <c r="B183" s="448"/>
      <c r="C183" s="448"/>
      <c r="D183" s="448"/>
      <c r="E183" s="448"/>
      <c r="F183" s="448"/>
      <c r="G183" s="448"/>
      <c r="H183" s="448"/>
      <c r="I183" s="448"/>
    </row>
    <row r="184" ht="15.75" customHeight="1">
      <c r="B184" s="448"/>
      <c r="C184" s="448"/>
      <c r="D184" s="448"/>
      <c r="E184" s="448"/>
      <c r="F184" s="448"/>
      <c r="G184" s="448"/>
      <c r="H184" s="448"/>
      <c r="I184" s="448"/>
    </row>
    <row r="185" ht="15.75" customHeight="1">
      <c r="B185" s="448"/>
      <c r="C185" s="448"/>
      <c r="D185" s="448"/>
      <c r="E185" s="448"/>
      <c r="F185" s="448"/>
      <c r="G185" s="448"/>
      <c r="H185" s="448"/>
      <c r="I185" s="448"/>
    </row>
    <row r="186" ht="15.75" customHeight="1">
      <c r="B186" s="448"/>
      <c r="C186" s="448"/>
      <c r="D186" s="448"/>
      <c r="E186" s="448"/>
      <c r="F186" s="448"/>
      <c r="G186" s="448"/>
      <c r="H186" s="448"/>
      <c r="I186" s="448"/>
    </row>
    <row r="187" ht="15.75" customHeight="1">
      <c r="B187" s="448"/>
      <c r="C187" s="448"/>
      <c r="D187" s="448"/>
      <c r="E187" s="448"/>
      <c r="F187" s="448"/>
      <c r="G187" s="448"/>
      <c r="H187" s="448"/>
      <c r="I187" s="448"/>
    </row>
    <row r="188" ht="15.75" customHeight="1">
      <c r="B188" s="448"/>
      <c r="C188" s="448"/>
      <c r="D188" s="448"/>
      <c r="E188" s="448"/>
      <c r="F188" s="448"/>
      <c r="G188" s="448"/>
      <c r="H188" s="448"/>
      <c r="I188" s="448"/>
    </row>
    <row r="189" ht="15.75" customHeight="1">
      <c r="B189" s="448"/>
      <c r="C189" s="448"/>
      <c r="D189" s="448"/>
      <c r="E189" s="448"/>
      <c r="F189" s="448"/>
      <c r="G189" s="448"/>
      <c r="H189" s="448"/>
      <c r="I189" s="448"/>
    </row>
    <row r="190" ht="15.75" customHeight="1">
      <c r="B190" s="448"/>
      <c r="C190" s="448"/>
      <c r="D190" s="448"/>
      <c r="E190" s="448"/>
      <c r="F190" s="448"/>
      <c r="G190" s="448"/>
      <c r="H190" s="448"/>
      <c r="I190" s="448"/>
    </row>
    <row r="191" ht="15.75" customHeight="1">
      <c r="B191" s="448"/>
      <c r="C191" s="448"/>
      <c r="D191" s="448"/>
      <c r="E191" s="448"/>
      <c r="F191" s="448"/>
      <c r="G191" s="448"/>
      <c r="H191" s="448"/>
      <c r="I191" s="448"/>
    </row>
    <row r="192" ht="15.75" customHeight="1">
      <c r="B192" s="448"/>
      <c r="C192" s="448"/>
      <c r="D192" s="448"/>
      <c r="E192" s="448"/>
      <c r="F192" s="448"/>
      <c r="G192" s="448"/>
      <c r="H192" s="448"/>
      <c r="I192" s="448"/>
    </row>
    <row r="193" ht="15.75" customHeight="1">
      <c r="B193" s="448"/>
      <c r="C193" s="448"/>
      <c r="D193" s="448"/>
      <c r="E193" s="448"/>
      <c r="F193" s="448"/>
      <c r="G193" s="448"/>
      <c r="H193" s="448"/>
      <c r="I193" s="448"/>
    </row>
    <row r="194" ht="15.75" customHeight="1">
      <c r="B194" s="448"/>
      <c r="C194" s="448"/>
      <c r="D194" s="448"/>
      <c r="E194" s="448"/>
      <c r="F194" s="448"/>
      <c r="G194" s="448"/>
      <c r="H194" s="448"/>
      <c r="I194" s="448"/>
    </row>
    <row r="195" ht="15.75" customHeight="1">
      <c r="B195" s="448"/>
      <c r="C195" s="448"/>
      <c r="D195" s="448"/>
      <c r="E195" s="448"/>
      <c r="F195" s="448"/>
      <c r="G195" s="448"/>
      <c r="H195" s="448"/>
      <c r="I195" s="448"/>
    </row>
    <row r="196" ht="15.75" customHeight="1">
      <c r="B196" s="448"/>
      <c r="C196" s="448"/>
      <c r="D196" s="448"/>
      <c r="E196" s="448"/>
      <c r="F196" s="448"/>
      <c r="G196" s="448"/>
      <c r="H196" s="448"/>
      <c r="I196" s="448"/>
    </row>
    <row r="197" ht="15.75" customHeight="1">
      <c r="B197" s="448"/>
      <c r="C197" s="448"/>
      <c r="D197" s="448"/>
      <c r="E197" s="448"/>
      <c r="F197" s="448"/>
      <c r="G197" s="448"/>
      <c r="H197" s="448"/>
      <c r="I197" s="448"/>
    </row>
    <row r="198" ht="15.75" customHeight="1">
      <c r="B198" s="448"/>
      <c r="C198" s="448"/>
      <c r="D198" s="448"/>
      <c r="E198" s="448"/>
      <c r="F198" s="448"/>
      <c r="G198" s="448"/>
      <c r="H198" s="448"/>
      <c r="I198" s="448"/>
    </row>
    <row r="199" ht="15.75" customHeight="1">
      <c r="B199" s="448"/>
      <c r="C199" s="448"/>
      <c r="D199" s="448"/>
      <c r="E199" s="448"/>
      <c r="F199" s="448"/>
      <c r="G199" s="448"/>
      <c r="H199" s="448"/>
      <c r="I199" s="448"/>
    </row>
    <row r="200" ht="15.75" customHeight="1">
      <c r="B200" s="448"/>
      <c r="C200" s="448"/>
      <c r="D200" s="448"/>
      <c r="E200" s="448"/>
      <c r="F200" s="448"/>
      <c r="G200" s="448"/>
      <c r="H200" s="448"/>
      <c r="I200" s="448"/>
    </row>
    <row r="201" ht="15.75" customHeight="1">
      <c r="B201" s="448"/>
      <c r="C201" s="448"/>
      <c r="D201" s="448"/>
      <c r="E201" s="448"/>
      <c r="F201" s="448"/>
      <c r="G201" s="448"/>
      <c r="H201" s="448"/>
      <c r="I201" s="448"/>
    </row>
    <row r="202" ht="15.75" customHeight="1">
      <c r="B202" s="448"/>
      <c r="C202" s="448"/>
      <c r="D202" s="448"/>
      <c r="E202" s="448"/>
      <c r="F202" s="448"/>
      <c r="G202" s="448"/>
      <c r="H202" s="448"/>
      <c r="I202" s="448"/>
    </row>
    <row r="203" ht="15.75" customHeight="1">
      <c r="B203" s="448"/>
      <c r="C203" s="448"/>
      <c r="D203" s="448"/>
      <c r="E203" s="448"/>
      <c r="F203" s="448"/>
      <c r="G203" s="448"/>
      <c r="H203" s="448"/>
      <c r="I203" s="448"/>
    </row>
    <row r="204" ht="15.75" customHeight="1">
      <c r="B204" s="448"/>
      <c r="C204" s="448"/>
      <c r="D204" s="448"/>
      <c r="E204" s="448"/>
      <c r="F204" s="448"/>
      <c r="G204" s="448"/>
      <c r="H204" s="448"/>
      <c r="I204" s="448"/>
    </row>
    <row r="205" ht="15.75" customHeight="1">
      <c r="B205" s="448"/>
      <c r="C205" s="448"/>
      <c r="D205" s="448"/>
      <c r="E205" s="448"/>
      <c r="F205" s="448"/>
      <c r="G205" s="448"/>
      <c r="H205" s="448"/>
      <c r="I205" s="448"/>
    </row>
    <row r="206" ht="15.75" customHeight="1">
      <c r="B206" s="448"/>
      <c r="C206" s="448"/>
      <c r="D206" s="448"/>
      <c r="E206" s="448"/>
      <c r="F206" s="448"/>
      <c r="G206" s="448"/>
      <c r="H206" s="448"/>
      <c r="I206" s="448"/>
    </row>
    <row r="207" ht="15.75" customHeight="1">
      <c r="B207" s="448"/>
      <c r="C207" s="448"/>
      <c r="D207" s="448"/>
      <c r="E207" s="448"/>
      <c r="F207" s="448"/>
      <c r="G207" s="448"/>
      <c r="H207" s="448"/>
      <c r="I207" s="448"/>
    </row>
    <row r="208" ht="15.75" customHeight="1">
      <c r="B208" s="448"/>
      <c r="C208" s="448"/>
      <c r="D208" s="448"/>
      <c r="E208" s="448"/>
      <c r="F208" s="448"/>
      <c r="G208" s="448"/>
      <c r="H208" s="448"/>
      <c r="I208" s="448"/>
    </row>
    <row r="209" ht="15.75" customHeight="1">
      <c r="B209" s="448"/>
      <c r="C209" s="448"/>
      <c r="D209" s="448"/>
      <c r="E209" s="448"/>
      <c r="F209" s="448"/>
      <c r="G209" s="448"/>
      <c r="H209" s="448"/>
      <c r="I209" s="448"/>
    </row>
    <row r="210" ht="15.75" customHeight="1">
      <c r="B210" s="448"/>
      <c r="C210" s="448"/>
      <c r="D210" s="448"/>
      <c r="E210" s="448"/>
      <c r="F210" s="448"/>
      <c r="G210" s="448"/>
      <c r="H210" s="448"/>
      <c r="I210" s="448"/>
    </row>
    <row r="211" ht="15.75" customHeight="1">
      <c r="B211" s="448"/>
      <c r="C211" s="448"/>
      <c r="D211" s="448"/>
      <c r="E211" s="448"/>
      <c r="F211" s="448"/>
      <c r="G211" s="448"/>
      <c r="H211" s="448"/>
      <c r="I211" s="448"/>
    </row>
    <row r="212" ht="15.75" customHeight="1">
      <c r="B212" s="448"/>
      <c r="C212" s="448"/>
      <c r="D212" s="448"/>
      <c r="E212" s="448"/>
      <c r="F212" s="448"/>
      <c r="G212" s="448"/>
      <c r="H212" s="448"/>
      <c r="I212" s="448"/>
    </row>
    <row r="213" ht="15.75" customHeight="1">
      <c r="B213" s="448"/>
      <c r="C213" s="448"/>
      <c r="D213" s="448"/>
      <c r="E213" s="448"/>
      <c r="F213" s="448"/>
      <c r="G213" s="448"/>
      <c r="H213" s="448"/>
      <c r="I213" s="448"/>
    </row>
    <row r="214" ht="15.75" customHeight="1">
      <c r="B214" s="448"/>
      <c r="C214" s="448"/>
      <c r="D214" s="448"/>
      <c r="E214" s="448"/>
      <c r="F214" s="448"/>
      <c r="G214" s="448"/>
      <c r="H214" s="448"/>
      <c r="I214" s="448"/>
    </row>
    <row r="215" ht="15.75" customHeight="1">
      <c r="B215" s="448"/>
      <c r="C215" s="448"/>
      <c r="D215" s="448"/>
      <c r="E215" s="448"/>
      <c r="F215" s="448"/>
      <c r="G215" s="448"/>
      <c r="H215" s="448"/>
      <c r="I215" s="448"/>
    </row>
    <row r="216" ht="15.75" customHeight="1">
      <c r="B216" s="448"/>
      <c r="C216" s="448"/>
      <c r="D216" s="448"/>
      <c r="E216" s="448"/>
      <c r="F216" s="448"/>
      <c r="G216" s="448"/>
      <c r="H216" s="448"/>
      <c r="I216" s="448"/>
    </row>
    <row r="217" ht="15.75" customHeight="1">
      <c r="B217" s="448"/>
      <c r="C217" s="448"/>
      <c r="D217" s="448"/>
      <c r="E217" s="448"/>
      <c r="F217" s="448"/>
      <c r="G217" s="448"/>
      <c r="H217" s="448"/>
      <c r="I217" s="448"/>
    </row>
    <row r="218" ht="15.75" customHeight="1">
      <c r="B218" s="448"/>
      <c r="C218" s="448"/>
      <c r="D218" s="448"/>
      <c r="E218" s="448"/>
      <c r="F218" s="448"/>
      <c r="G218" s="448"/>
      <c r="H218" s="448"/>
      <c r="I218" s="448"/>
    </row>
    <row r="219" ht="15.75" customHeight="1">
      <c r="B219" s="448"/>
      <c r="C219" s="448"/>
      <c r="D219" s="448"/>
      <c r="E219" s="448"/>
      <c r="F219" s="448"/>
      <c r="G219" s="448"/>
      <c r="H219" s="448"/>
      <c r="I219" s="448"/>
    </row>
    <row r="220" ht="15.75" customHeight="1">
      <c r="B220" s="448"/>
      <c r="C220" s="448"/>
      <c r="D220" s="448"/>
      <c r="E220" s="448"/>
      <c r="F220" s="448"/>
      <c r="G220" s="448"/>
      <c r="H220" s="448"/>
      <c r="I220" s="448"/>
    </row>
    <row r="221" ht="15.75" customHeight="1">
      <c r="B221" s="448"/>
      <c r="C221" s="448"/>
      <c r="D221" s="448"/>
      <c r="E221" s="448"/>
      <c r="F221" s="448"/>
      <c r="G221" s="448"/>
      <c r="H221" s="448"/>
      <c r="I221" s="448"/>
    </row>
    <row r="222" ht="15.75" customHeight="1">
      <c r="B222" s="448"/>
      <c r="C222" s="448"/>
      <c r="D222" s="448"/>
      <c r="E222" s="448"/>
      <c r="F222" s="448"/>
      <c r="G222" s="448"/>
      <c r="H222" s="448"/>
      <c r="I222" s="448"/>
    </row>
    <row r="223" ht="15.75" customHeight="1">
      <c r="B223" s="448"/>
      <c r="C223" s="448"/>
      <c r="D223" s="448"/>
      <c r="E223" s="448"/>
      <c r="F223" s="448"/>
      <c r="G223" s="448"/>
      <c r="H223" s="448"/>
      <c r="I223" s="448"/>
    </row>
    <row r="224" ht="15.75" customHeight="1">
      <c r="B224" s="448"/>
      <c r="C224" s="448"/>
      <c r="D224" s="448"/>
      <c r="E224" s="448"/>
      <c r="F224" s="448"/>
      <c r="G224" s="448"/>
      <c r="H224" s="448"/>
      <c r="I224" s="448"/>
    </row>
    <row r="225" ht="15.75" customHeight="1">
      <c r="B225" s="448"/>
      <c r="C225" s="448"/>
      <c r="D225" s="448"/>
      <c r="E225" s="448"/>
      <c r="F225" s="448"/>
      <c r="G225" s="448"/>
      <c r="H225" s="448"/>
      <c r="I225" s="448"/>
    </row>
    <row r="226" ht="15.75" customHeight="1">
      <c r="B226" s="448"/>
      <c r="C226" s="448"/>
      <c r="D226" s="448"/>
      <c r="E226" s="448"/>
      <c r="F226" s="448"/>
      <c r="G226" s="448"/>
      <c r="H226" s="448"/>
      <c r="I226" s="448"/>
    </row>
    <row r="227" ht="15.75" customHeight="1">
      <c r="B227" s="448"/>
      <c r="C227" s="448"/>
      <c r="D227" s="448"/>
      <c r="E227" s="448"/>
      <c r="F227" s="448"/>
      <c r="G227" s="448"/>
      <c r="H227" s="448"/>
      <c r="I227" s="448"/>
    </row>
    <row r="228" ht="15.75" customHeight="1">
      <c r="B228" s="448"/>
      <c r="C228" s="448"/>
      <c r="D228" s="448"/>
      <c r="E228" s="448"/>
      <c r="F228" s="448"/>
      <c r="G228" s="448"/>
      <c r="H228" s="448"/>
      <c r="I228" s="448"/>
    </row>
    <row r="229" ht="15.75" customHeight="1">
      <c r="B229" s="448"/>
      <c r="C229" s="448"/>
      <c r="D229" s="448"/>
      <c r="E229" s="448"/>
      <c r="F229" s="448"/>
      <c r="G229" s="448"/>
      <c r="H229" s="448"/>
      <c r="I229" s="448"/>
    </row>
    <row r="230" ht="15.75" customHeight="1">
      <c r="B230" s="448"/>
      <c r="C230" s="448"/>
      <c r="D230" s="448"/>
      <c r="E230" s="448"/>
      <c r="F230" s="448"/>
      <c r="G230" s="448"/>
      <c r="H230" s="448"/>
      <c r="I230" s="448"/>
    </row>
    <row r="231" ht="15.75" customHeight="1">
      <c r="B231" s="448"/>
      <c r="C231" s="448"/>
      <c r="D231" s="448"/>
      <c r="E231" s="448"/>
      <c r="F231" s="448"/>
      <c r="G231" s="448"/>
      <c r="H231" s="448"/>
      <c r="I231" s="448"/>
    </row>
    <row r="232" ht="15.75" customHeight="1">
      <c r="B232" s="448"/>
      <c r="C232" s="448"/>
      <c r="D232" s="448"/>
      <c r="E232" s="448"/>
      <c r="F232" s="448"/>
      <c r="G232" s="448"/>
      <c r="H232" s="448"/>
      <c r="I232" s="448"/>
    </row>
    <row r="233" ht="15.75" customHeight="1">
      <c r="B233" s="448"/>
      <c r="C233" s="448"/>
      <c r="D233" s="448"/>
      <c r="E233" s="448"/>
      <c r="F233" s="448"/>
      <c r="G233" s="448"/>
      <c r="H233" s="448"/>
      <c r="I233" s="448"/>
    </row>
    <row r="234" ht="15.75" customHeight="1">
      <c r="B234" s="448"/>
      <c r="C234" s="448"/>
      <c r="D234" s="448"/>
      <c r="E234" s="448"/>
      <c r="F234" s="448"/>
      <c r="G234" s="448"/>
      <c r="H234" s="448"/>
      <c r="I234" s="448"/>
    </row>
    <row r="235" ht="15.75" customHeight="1">
      <c r="B235" s="448"/>
      <c r="C235" s="448"/>
      <c r="D235" s="448"/>
      <c r="E235" s="448"/>
      <c r="F235" s="448"/>
      <c r="G235" s="448"/>
      <c r="H235" s="448"/>
      <c r="I235" s="448"/>
    </row>
    <row r="236" ht="15.75" customHeight="1">
      <c r="B236" s="448"/>
      <c r="C236" s="448"/>
      <c r="D236" s="448"/>
      <c r="E236" s="448"/>
      <c r="F236" s="448"/>
      <c r="G236" s="448"/>
      <c r="H236" s="448"/>
      <c r="I236" s="448"/>
    </row>
    <row r="237" ht="15.75" customHeight="1">
      <c r="B237" s="448"/>
      <c r="C237" s="448"/>
      <c r="D237" s="448"/>
      <c r="E237" s="448"/>
      <c r="F237" s="448"/>
      <c r="G237" s="448"/>
      <c r="H237" s="448"/>
      <c r="I237" s="448"/>
    </row>
    <row r="238" ht="15.75" customHeight="1">
      <c r="B238" s="448"/>
      <c r="C238" s="448"/>
      <c r="D238" s="448"/>
      <c r="E238" s="448"/>
      <c r="F238" s="448"/>
      <c r="G238" s="448"/>
      <c r="H238" s="448"/>
      <c r="I238" s="448"/>
    </row>
    <row r="239" ht="15.75" customHeight="1">
      <c r="B239" s="448"/>
      <c r="C239" s="448"/>
      <c r="D239" s="448"/>
      <c r="E239" s="448"/>
      <c r="F239" s="448"/>
      <c r="G239" s="448"/>
      <c r="H239" s="448"/>
      <c r="I239" s="448"/>
    </row>
    <row r="240" ht="15.75" customHeight="1">
      <c r="B240" s="448"/>
      <c r="C240" s="448"/>
      <c r="D240" s="448"/>
      <c r="E240" s="448"/>
      <c r="F240" s="448"/>
      <c r="G240" s="448"/>
      <c r="H240" s="448"/>
      <c r="I240" s="448"/>
    </row>
    <row r="241" ht="15.75" customHeight="1">
      <c r="B241" s="448"/>
      <c r="C241" s="448"/>
      <c r="D241" s="448"/>
      <c r="E241" s="448"/>
      <c r="F241" s="448"/>
      <c r="G241" s="448"/>
      <c r="H241" s="448"/>
      <c r="I241" s="448"/>
    </row>
    <row r="242" ht="15.75" customHeight="1">
      <c r="B242" s="448"/>
      <c r="C242" s="448"/>
      <c r="D242" s="448"/>
      <c r="E242" s="448"/>
      <c r="F242" s="448"/>
      <c r="G242" s="448"/>
      <c r="H242" s="448"/>
      <c r="I242" s="448"/>
    </row>
    <row r="243" ht="15.75" customHeight="1">
      <c r="B243" s="448"/>
      <c r="C243" s="448"/>
      <c r="D243" s="448"/>
      <c r="E243" s="448"/>
      <c r="F243" s="448"/>
      <c r="G243" s="448"/>
      <c r="H243" s="448"/>
      <c r="I243" s="448"/>
    </row>
    <row r="244" ht="15.75" customHeight="1">
      <c r="B244" s="448"/>
      <c r="C244" s="448"/>
      <c r="D244" s="448"/>
      <c r="E244" s="448"/>
      <c r="F244" s="448"/>
      <c r="G244" s="448"/>
      <c r="H244" s="448"/>
      <c r="I244" s="448"/>
    </row>
    <row r="245" ht="15.75" customHeight="1">
      <c r="B245" s="448"/>
      <c r="C245" s="448"/>
      <c r="D245" s="448"/>
      <c r="E245" s="448"/>
      <c r="F245" s="448"/>
      <c r="G245" s="448"/>
      <c r="H245" s="448"/>
      <c r="I245" s="448"/>
    </row>
    <row r="246" ht="15.75" customHeight="1">
      <c r="B246" s="448"/>
      <c r="C246" s="448"/>
      <c r="D246" s="448"/>
      <c r="E246" s="448"/>
      <c r="F246" s="448"/>
      <c r="G246" s="448"/>
      <c r="H246" s="448"/>
      <c r="I246" s="448"/>
    </row>
    <row r="247" ht="15.75" customHeight="1">
      <c r="B247" s="448"/>
      <c r="C247" s="448"/>
      <c r="D247" s="448"/>
      <c r="E247" s="448"/>
      <c r="F247" s="448"/>
      <c r="G247" s="448"/>
      <c r="H247" s="448"/>
      <c r="I247" s="448"/>
    </row>
    <row r="248" ht="15.75" customHeight="1">
      <c r="B248" s="448"/>
      <c r="C248" s="448"/>
      <c r="D248" s="448"/>
      <c r="E248" s="448"/>
      <c r="F248" s="448"/>
      <c r="G248" s="448"/>
      <c r="H248" s="448"/>
      <c r="I248" s="448"/>
    </row>
    <row r="249" ht="15.75" customHeight="1">
      <c r="B249" s="448"/>
      <c r="C249" s="448"/>
      <c r="D249" s="448"/>
      <c r="E249" s="448"/>
      <c r="F249" s="448"/>
      <c r="G249" s="448"/>
      <c r="H249" s="448"/>
      <c r="I249" s="448"/>
    </row>
    <row r="250" ht="15.75" customHeight="1">
      <c r="B250" s="448"/>
      <c r="C250" s="448"/>
      <c r="D250" s="448"/>
      <c r="E250" s="448"/>
      <c r="F250" s="448"/>
      <c r="G250" s="448"/>
      <c r="H250" s="448"/>
      <c r="I250" s="448"/>
    </row>
    <row r="251" ht="15.75" customHeight="1">
      <c r="B251" s="448"/>
      <c r="C251" s="448"/>
      <c r="D251" s="448"/>
      <c r="E251" s="448"/>
      <c r="F251" s="448"/>
      <c r="G251" s="448"/>
      <c r="H251" s="448"/>
      <c r="I251" s="448"/>
    </row>
    <row r="252" ht="15.75" customHeight="1">
      <c r="B252" s="448"/>
      <c r="C252" s="448"/>
      <c r="D252" s="448"/>
      <c r="E252" s="448"/>
      <c r="F252" s="448"/>
      <c r="G252" s="448"/>
      <c r="H252" s="448"/>
      <c r="I252" s="448"/>
    </row>
    <row r="253" ht="15.75" customHeight="1">
      <c r="B253" s="448"/>
      <c r="C253" s="448"/>
      <c r="D253" s="448"/>
      <c r="E253" s="448"/>
      <c r="F253" s="448"/>
      <c r="G253" s="448"/>
      <c r="H253" s="448"/>
      <c r="I253" s="448"/>
    </row>
    <row r="254" ht="15.75" customHeight="1">
      <c r="B254" s="448"/>
      <c r="C254" s="448"/>
      <c r="D254" s="448"/>
      <c r="E254" s="448"/>
      <c r="F254" s="448"/>
      <c r="G254" s="448"/>
      <c r="H254" s="448"/>
      <c r="I254" s="448"/>
    </row>
    <row r="255" ht="15.75" customHeight="1">
      <c r="B255" s="448"/>
      <c r="C255" s="448"/>
      <c r="D255" s="448"/>
      <c r="E255" s="448"/>
      <c r="F255" s="448"/>
      <c r="G255" s="448"/>
      <c r="H255" s="448"/>
      <c r="I255" s="448"/>
    </row>
    <row r="256" ht="15.75" customHeight="1">
      <c r="B256" s="448"/>
      <c r="C256" s="448"/>
      <c r="D256" s="448"/>
      <c r="E256" s="448"/>
      <c r="F256" s="448"/>
      <c r="G256" s="448"/>
      <c r="H256" s="448"/>
      <c r="I256" s="448"/>
    </row>
    <row r="257" ht="15.75" customHeight="1">
      <c r="B257" s="448"/>
      <c r="C257" s="448"/>
      <c r="D257" s="448"/>
      <c r="E257" s="448"/>
      <c r="F257" s="448"/>
      <c r="G257" s="448"/>
      <c r="H257" s="448"/>
      <c r="I257" s="448"/>
    </row>
    <row r="258" ht="15.75" customHeight="1">
      <c r="B258" s="448"/>
      <c r="C258" s="448"/>
      <c r="D258" s="448"/>
      <c r="E258" s="448"/>
      <c r="F258" s="448"/>
      <c r="G258" s="448"/>
      <c r="H258" s="448"/>
      <c r="I258" s="448"/>
    </row>
    <row r="259" ht="15.75" customHeight="1">
      <c r="B259" s="448"/>
      <c r="C259" s="448"/>
      <c r="D259" s="448"/>
      <c r="E259" s="448"/>
      <c r="F259" s="448"/>
      <c r="G259" s="448"/>
      <c r="H259" s="448"/>
      <c r="I259" s="448"/>
    </row>
    <row r="260" ht="15.75" customHeight="1">
      <c r="B260" s="448"/>
      <c r="C260" s="448"/>
      <c r="D260" s="448"/>
      <c r="E260" s="448"/>
      <c r="F260" s="448"/>
      <c r="G260" s="448"/>
      <c r="H260" s="448"/>
      <c r="I260" s="448"/>
    </row>
    <row r="261" ht="15.75" customHeight="1">
      <c r="B261" s="448"/>
      <c r="C261" s="448"/>
      <c r="D261" s="448"/>
      <c r="E261" s="448"/>
      <c r="F261" s="448"/>
      <c r="G261" s="448"/>
      <c r="H261" s="448"/>
      <c r="I261" s="448"/>
    </row>
    <row r="262" ht="15.75" customHeight="1">
      <c r="B262" s="448"/>
      <c r="C262" s="448"/>
      <c r="D262" s="448"/>
      <c r="E262" s="448"/>
      <c r="F262" s="448"/>
      <c r="G262" s="448"/>
      <c r="H262" s="448"/>
      <c r="I262" s="448"/>
    </row>
    <row r="263" ht="15.75" customHeight="1">
      <c r="B263" s="448"/>
      <c r="C263" s="448"/>
      <c r="D263" s="448"/>
      <c r="E263" s="448"/>
      <c r="F263" s="448"/>
      <c r="G263" s="448"/>
      <c r="H263" s="448"/>
      <c r="I263" s="448"/>
    </row>
    <row r="264" ht="15.75" customHeight="1">
      <c r="B264" s="448"/>
      <c r="C264" s="448"/>
      <c r="D264" s="448"/>
      <c r="E264" s="448"/>
      <c r="F264" s="448"/>
      <c r="G264" s="448"/>
      <c r="H264" s="448"/>
      <c r="I264" s="448"/>
    </row>
    <row r="265" ht="15.75" customHeight="1">
      <c r="B265" s="448"/>
      <c r="C265" s="448"/>
      <c r="D265" s="448"/>
      <c r="E265" s="448"/>
      <c r="F265" s="448"/>
      <c r="G265" s="448"/>
      <c r="H265" s="448"/>
      <c r="I265" s="448"/>
    </row>
    <row r="266" ht="15.75" customHeight="1">
      <c r="B266" s="448"/>
      <c r="C266" s="448"/>
      <c r="D266" s="448"/>
      <c r="E266" s="448"/>
      <c r="F266" s="448"/>
      <c r="G266" s="448"/>
      <c r="H266" s="448"/>
      <c r="I266" s="448"/>
    </row>
    <row r="267" ht="15.75" customHeight="1">
      <c r="B267" s="448"/>
      <c r="C267" s="448"/>
      <c r="D267" s="448"/>
      <c r="E267" s="448"/>
      <c r="F267" s="448"/>
      <c r="G267" s="448"/>
      <c r="H267" s="448"/>
      <c r="I267" s="448"/>
    </row>
    <row r="268" ht="15.75" customHeight="1">
      <c r="B268" s="448"/>
      <c r="C268" s="448"/>
      <c r="D268" s="448"/>
      <c r="E268" s="448"/>
      <c r="F268" s="448"/>
      <c r="G268" s="448"/>
      <c r="H268" s="448"/>
      <c r="I268" s="448"/>
    </row>
    <row r="269" ht="15.75" customHeight="1">
      <c r="B269" s="448"/>
      <c r="C269" s="448"/>
      <c r="D269" s="448"/>
      <c r="E269" s="448"/>
      <c r="F269" s="448"/>
      <c r="G269" s="448"/>
      <c r="H269" s="448"/>
      <c r="I269" s="448"/>
    </row>
    <row r="270" ht="15.75" customHeight="1">
      <c r="B270" s="448"/>
      <c r="C270" s="448"/>
      <c r="D270" s="448"/>
      <c r="E270" s="448"/>
      <c r="F270" s="448"/>
      <c r="G270" s="448"/>
      <c r="H270" s="448"/>
      <c r="I270" s="448"/>
    </row>
    <row r="271" ht="15.75" customHeight="1">
      <c r="B271" s="448"/>
      <c r="C271" s="448"/>
      <c r="D271" s="448"/>
      <c r="E271" s="448"/>
      <c r="F271" s="448"/>
      <c r="G271" s="448"/>
      <c r="H271" s="448"/>
      <c r="I271" s="448"/>
    </row>
    <row r="272" ht="15.75" customHeight="1">
      <c r="B272" s="448"/>
      <c r="C272" s="448"/>
      <c r="D272" s="448"/>
      <c r="E272" s="448"/>
      <c r="F272" s="448"/>
      <c r="G272" s="448"/>
      <c r="H272" s="448"/>
      <c r="I272" s="448"/>
    </row>
    <row r="273" ht="15.75" customHeight="1">
      <c r="B273" s="448"/>
      <c r="C273" s="448"/>
      <c r="D273" s="448"/>
      <c r="E273" s="448"/>
      <c r="F273" s="448"/>
      <c r="G273" s="448"/>
      <c r="H273" s="448"/>
      <c r="I273" s="448"/>
    </row>
    <row r="274" ht="15.75" customHeight="1">
      <c r="B274" s="448"/>
      <c r="C274" s="448"/>
      <c r="D274" s="448"/>
      <c r="E274" s="448"/>
      <c r="F274" s="448"/>
      <c r="G274" s="448"/>
      <c r="H274" s="448"/>
      <c r="I274" s="448"/>
    </row>
    <row r="275" ht="15.75" customHeight="1">
      <c r="B275" s="448"/>
      <c r="C275" s="448"/>
      <c r="D275" s="448"/>
      <c r="E275" s="448"/>
      <c r="F275" s="448"/>
      <c r="G275" s="448"/>
      <c r="H275" s="448"/>
      <c r="I275" s="448"/>
    </row>
    <row r="276" ht="15.75" customHeight="1">
      <c r="B276" s="448"/>
      <c r="C276" s="448"/>
      <c r="D276" s="448"/>
      <c r="E276" s="448"/>
      <c r="F276" s="448"/>
      <c r="G276" s="448"/>
      <c r="H276" s="448"/>
      <c r="I276" s="448"/>
    </row>
    <row r="277" ht="15.75" customHeight="1">
      <c r="B277" s="448"/>
      <c r="C277" s="448"/>
      <c r="D277" s="448"/>
      <c r="E277" s="448"/>
      <c r="F277" s="448"/>
      <c r="G277" s="448"/>
      <c r="H277" s="448"/>
      <c r="I277" s="448"/>
    </row>
    <row r="278" ht="15.75" customHeight="1">
      <c r="B278" s="448"/>
      <c r="C278" s="448"/>
      <c r="D278" s="448"/>
      <c r="E278" s="448"/>
      <c r="F278" s="448"/>
      <c r="G278" s="448"/>
      <c r="H278" s="448"/>
      <c r="I278" s="448"/>
    </row>
    <row r="279" ht="15.75" customHeight="1">
      <c r="B279" s="448"/>
      <c r="C279" s="448"/>
      <c r="D279" s="448"/>
      <c r="E279" s="448"/>
      <c r="F279" s="448"/>
      <c r="G279" s="448"/>
      <c r="H279" s="448"/>
      <c r="I279" s="448"/>
    </row>
    <row r="280" ht="15.75" customHeight="1">
      <c r="B280" s="448"/>
      <c r="C280" s="448"/>
      <c r="D280" s="448"/>
      <c r="E280" s="448"/>
      <c r="F280" s="448"/>
      <c r="G280" s="448"/>
      <c r="H280" s="448"/>
      <c r="I280" s="448"/>
    </row>
    <row r="281" ht="15.75" customHeight="1">
      <c r="B281" s="448"/>
      <c r="C281" s="448"/>
      <c r="D281" s="448"/>
      <c r="E281" s="448"/>
      <c r="F281" s="448"/>
      <c r="G281" s="448"/>
      <c r="H281" s="448"/>
      <c r="I281" s="448"/>
    </row>
    <row r="282" ht="15.75" customHeight="1">
      <c r="B282" s="448"/>
      <c r="C282" s="448"/>
      <c r="D282" s="448"/>
      <c r="E282" s="448"/>
      <c r="F282" s="448"/>
      <c r="G282" s="448"/>
      <c r="H282" s="448"/>
      <c r="I282" s="448"/>
    </row>
    <row r="283" ht="15.75" customHeight="1">
      <c r="B283" s="448"/>
      <c r="C283" s="448"/>
      <c r="D283" s="448"/>
      <c r="E283" s="448"/>
      <c r="F283" s="448"/>
      <c r="G283" s="448"/>
      <c r="H283" s="448"/>
      <c r="I283" s="448"/>
    </row>
    <row r="284" ht="15.75" customHeight="1">
      <c r="B284" s="448"/>
      <c r="C284" s="448"/>
      <c r="D284" s="448"/>
      <c r="E284" s="448"/>
      <c r="F284" s="448"/>
      <c r="G284" s="448"/>
      <c r="H284" s="448"/>
      <c r="I284" s="448"/>
    </row>
    <row r="285" ht="15.75" customHeight="1">
      <c r="B285" s="448"/>
      <c r="C285" s="448"/>
      <c r="D285" s="448"/>
      <c r="E285" s="448"/>
      <c r="F285" s="448"/>
      <c r="G285" s="448"/>
      <c r="H285" s="448"/>
      <c r="I285" s="448"/>
    </row>
    <row r="286" ht="15.75" customHeight="1">
      <c r="B286" s="448"/>
      <c r="C286" s="448"/>
      <c r="D286" s="448"/>
      <c r="E286" s="448"/>
      <c r="F286" s="448"/>
      <c r="G286" s="448"/>
      <c r="H286" s="448"/>
      <c r="I286" s="448"/>
    </row>
    <row r="287" ht="15.75" customHeight="1">
      <c r="B287" s="448"/>
      <c r="C287" s="448"/>
      <c r="D287" s="448"/>
      <c r="E287" s="448"/>
      <c r="F287" s="448"/>
      <c r="G287" s="448"/>
      <c r="H287" s="448"/>
      <c r="I287" s="448"/>
    </row>
    <row r="288" ht="15.75" customHeight="1">
      <c r="B288" s="448"/>
      <c r="C288" s="448"/>
      <c r="D288" s="448"/>
      <c r="E288" s="448"/>
      <c r="F288" s="448"/>
      <c r="G288" s="448"/>
      <c r="H288" s="448"/>
      <c r="I288" s="448"/>
    </row>
    <row r="289" ht="15.75" customHeight="1">
      <c r="B289" s="448"/>
      <c r="C289" s="448"/>
      <c r="D289" s="448"/>
      <c r="E289" s="448"/>
      <c r="F289" s="448"/>
      <c r="G289" s="448"/>
      <c r="H289" s="448"/>
      <c r="I289" s="448"/>
    </row>
    <row r="290" ht="15.75" customHeight="1">
      <c r="B290" s="448"/>
      <c r="C290" s="448"/>
      <c r="D290" s="448"/>
      <c r="E290" s="448"/>
      <c r="F290" s="448"/>
      <c r="G290" s="448"/>
      <c r="H290" s="448"/>
      <c r="I290" s="448"/>
    </row>
    <row r="291" ht="15.75" customHeight="1">
      <c r="B291" s="448"/>
      <c r="C291" s="448"/>
      <c r="D291" s="448"/>
      <c r="E291" s="448"/>
      <c r="F291" s="448"/>
      <c r="G291" s="448"/>
      <c r="H291" s="448"/>
      <c r="I291" s="448"/>
    </row>
    <row r="292" ht="15.75" customHeight="1">
      <c r="B292" s="448"/>
      <c r="C292" s="448"/>
      <c r="D292" s="448"/>
      <c r="E292" s="448"/>
      <c r="F292" s="448"/>
      <c r="G292" s="448"/>
      <c r="H292" s="448"/>
      <c r="I292" s="448"/>
    </row>
    <row r="293" ht="15.75" customHeight="1">
      <c r="B293" s="448"/>
      <c r="C293" s="448"/>
      <c r="D293" s="448"/>
      <c r="E293" s="448"/>
      <c r="F293" s="448"/>
      <c r="G293" s="448"/>
      <c r="H293" s="448"/>
      <c r="I293" s="448"/>
    </row>
    <row r="294" ht="15.75" customHeight="1">
      <c r="B294" s="448"/>
      <c r="C294" s="448"/>
      <c r="D294" s="448"/>
      <c r="E294" s="448"/>
      <c r="F294" s="448"/>
      <c r="G294" s="448"/>
      <c r="H294" s="448"/>
      <c r="I294" s="448"/>
    </row>
    <row r="295" ht="15.75" customHeight="1">
      <c r="B295" s="448"/>
      <c r="C295" s="448"/>
      <c r="D295" s="448"/>
      <c r="E295" s="448"/>
      <c r="F295" s="448"/>
      <c r="G295" s="448"/>
      <c r="H295" s="448"/>
      <c r="I295" s="448"/>
    </row>
    <row r="296" ht="15.75" customHeight="1">
      <c r="B296" s="448"/>
      <c r="C296" s="448"/>
      <c r="D296" s="448"/>
      <c r="E296" s="448"/>
      <c r="F296" s="448"/>
      <c r="G296" s="448"/>
      <c r="H296" s="448"/>
      <c r="I296" s="448"/>
    </row>
    <row r="297" ht="15.75" customHeight="1">
      <c r="B297" s="448"/>
      <c r="C297" s="448"/>
      <c r="D297" s="448"/>
      <c r="E297" s="448"/>
      <c r="F297" s="448"/>
      <c r="G297" s="448"/>
      <c r="H297" s="448"/>
      <c r="I297" s="448"/>
    </row>
    <row r="298" ht="15.75" customHeight="1">
      <c r="B298" s="448"/>
      <c r="C298" s="448"/>
      <c r="D298" s="448"/>
      <c r="E298" s="448"/>
      <c r="F298" s="448"/>
      <c r="G298" s="448"/>
      <c r="H298" s="448"/>
      <c r="I298" s="448"/>
    </row>
    <row r="299" ht="15.75" customHeight="1">
      <c r="B299" s="448"/>
      <c r="C299" s="448"/>
      <c r="D299" s="448"/>
      <c r="E299" s="448"/>
      <c r="F299" s="448"/>
      <c r="G299" s="448"/>
      <c r="H299" s="448"/>
      <c r="I299" s="448"/>
    </row>
    <row r="300" ht="15.75" customHeight="1">
      <c r="B300" s="448"/>
      <c r="C300" s="448"/>
      <c r="D300" s="448"/>
      <c r="E300" s="448"/>
      <c r="F300" s="448"/>
      <c r="G300" s="448"/>
      <c r="H300" s="448"/>
      <c r="I300" s="448"/>
    </row>
    <row r="301" ht="15.75" customHeight="1">
      <c r="B301" s="448"/>
      <c r="C301" s="448"/>
      <c r="D301" s="448"/>
      <c r="E301" s="448"/>
      <c r="F301" s="448"/>
      <c r="G301" s="448"/>
      <c r="H301" s="448"/>
      <c r="I301" s="448"/>
    </row>
    <row r="302" ht="15.75" customHeight="1">
      <c r="B302" s="448"/>
      <c r="C302" s="448"/>
      <c r="D302" s="448"/>
      <c r="E302" s="448"/>
      <c r="F302" s="448"/>
      <c r="G302" s="448"/>
      <c r="H302" s="448"/>
      <c r="I302" s="448"/>
    </row>
    <row r="303" ht="15.75" customHeight="1">
      <c r="B303" s="448"/>
      <c r="C303" s="448"/>
      <c r="D303" s="448"/>
      <c r="E303" s="448"/>
      <c r="F303" s="448"/>
      <c r="G303" s="448"/>
      <c r="H303" s="448"/>
      <c r="I303" s="448"/>
    </row>
    <row r="304" ht="15.75" customHeight="1">
      <c r="B304" s="448"/>
      <c r="C304" s="448"/>
      <c r="D304" s="448"/>
      <c r="E304" s="448"/>
      <c r="F304" s="448"/>
      <c r="G304" s="448"/>
      <c r="H304" s="448"/>
      <c r="I304" s="448"/>
    </row>
    <row r="305" ht="15.75" customHeight="1">
      <c r="B305" s="448"/>
      <c r="C305" s="448"/>
      <c r="D305" s="448"/>
      <c r="E305" s="448"/>
      <c r="F305" s="448"/>
      <c r="G305" s="448"/>
      <c r="H305" s="448"/>
      <c r="I305" s="448"/>
    </row>
    <row r="306" ht="15.75" customHeight="1">
      <c r="B306" s="448"/>
      <c r="C306" s="448"/>
      <c r="D306" s="448"/>
      <c r="E306" s="448"/>
      <c r="F306" s="448"/>
      <c r="G306" s="448"/>
      <c r="H306" s="448"/>
      <c r="I306" s="448"/>
    </row>
    <row r="307" ht="15.75" customHeight="1">
      <c r="B307" s="448"/>
      <c r="C307" s="448"/>
      <c r="D307" s="448"/>
      <c r="E307" s="448"/>
      <c r="F307" s="448"/>
      <c r="G307" s="448"/>
      <c r="H307" s="448"/>
      <c r="I307" s="448"/>
    </row>
    <row r="308" ht="15.75" customHeight="1">
      <c r="B308" s="448"/>
      <c r="C308" s="448"/>
      <c r="D308" s="448"/>
      <c r="E308" s="448"/>
      <c r="F308" s="448"/>
      <c r="G308" s="448"/>
      <c r="H308" s="448"/>
      <c r="I308" s="448"/>
    </row>
    <row r="309" ht="15.75" customHeight="1">
      <c r="B309" s="448"/>
      <c r="C309" s="448"/>
      <c r="D309" s="448"/>
      <c r="E309" s="448"/>
      <c r="F309" s="448"/>
      <c r="G309" s="448"/>
      <c r="H309" s="448"/>
      <c r="I309" s="448"/>
    </row>
    <row r="310" ht="15.75" customHeight="1">
      <c r="B310" s="448"/>
      <c r="C310" s="448"/>
      <c r="D310" s="448"/>
      <c r="E310" s="448"/>
      <c r="F310" s="448"/>
      <c r="G310" s="448"/>
      <c r="H310" s="448"/>
      <c r="I310" s="448"/>
    </row>
    <row r="311" ht="15.75" customHeight="1">
      <c r="B311" s="448"/>
      <c r="C311" s="448"/>
      <c r="D311" s="448"/>
      <c r="E311" s="448"/>
      <c r="F311" s="448"/>
      <c r="G311" s="448"/>
      <c r="H311" s="448"/>
      <c r="I311" s="448"/>
    </row>
    <row r="312" ht="15.75" customHeight="1">
      <c r="B312" s="448"/>
      <c r="C312" s="448"/>
      <c r="D312" s="448"/>
      <c r="E312" s="448"/>
      <c r="F312" s="448"/>
      <c r="G312" s="448"/>
      <c r="H312" s="448"/>
      <c r="I312" s="448"/>
    </row>
    <row r="313" ht="15.75" customHeight="1">
      <c r="B313" s="448"/>
      <c r="C313" s="448"/>
      <c r="D313" s="448"/>
      <c r="E313" s="448"/>
      <c r="F313" s="448"/>
      <c r="G313" s="448"/>
      <c r="H313" s="448"/>
      <c r="I313" s="448"/>
    </row>
    <row r="314" ht="15.75" customHeight="1">
      <c r="B314" s="448"/>
      <c r="C314" s="448"/>
      <c r="D314" s="448"/>
      <c r="E314" s="448"/>
      <c r="F314" s="448"/>
      <c r="G314" s="448"/>
      <c r="H314" s="448"/>
      <c r="I314" s="448"/>
    </row>
    <row r="315" ht="15.75" customHeight="1">
      <c r="B315" s="448"/>
      <c r="C315" s="448"/>
      <c r="D315" s="448"/>
      <c r="E315" s="448"/>
      <c r="F315" s="448"/>
      <c r="G315" s="448"/>
      <c r="H315" s="448"/>
      <c r="I315" s="448"/>
    </row>
    <row r="316" ht="15.75" customHeight="1">
      <c r="B316" s="448"/>
      <c r="C316" s="448"/>
      <c r="D316" s="448"/>
      <c r="E316" s="448"/>
      <c r="F316" s="448"/>
      <c r="G316" s="448"/>
      <c r="H316" s="448"/>
      <c r="I316" s="448"/>
    </row>
    <row r="317" ht="15.75" customHeight="1">
      <c r="B317" s="448"/>
      <c r="C317" s="448"/>
      <c r="D317" s="448"/>
      <c r="E317" s="448"/>
      <c r="F317" s="448"/>
      <c r="G317" s="448"/>
      <c r="H317" s="448"/>
      <c r="I317" s="448"/>
    </row>
    <row r="318" ht="15.75" customHeight="1">
      <c r="B318" s="448"/>
      <c r="C318" s="448"/>
      <c r="D318" s="448"/>
      <c r="E318" s="448"/>
      <c r="F318" s="448"/>
      <c r="G318" s="448"/>
      <c r="H318" s="448"/>
      <c r="I318" s="448"/>
    </row>
    <row r="319" ht="15.75" customHeight="1">
      <c r="B319" s="448"/>
      <c r="C319" s="448"/>
      <c r="D319" s="448"/>
      <c r="E319" s="448"/>
      <c r="F319" s="448"/>
      <c r="G319" s="448"/>
      <c r="H319" s="448"/>
      <c r="I319" s="448"/>
    </row>
    <row r="320" ht="15.75" customHeight="1">
      <c r="B320" s="448"/>
      <c r="C320" s="448"/>
      <c r="D320" s="448"/>
      <c r="E320" s="448"/>
      <c r="F320" s="448"/>
      <c r="G320" s="448"/>
      <c r="H320" s="448"/>
      <c r="I320" s="448"/>
    </row>
    <row r="321" ht="15.75" customHeight="1">
      <c r="B321" s="448"/>
      <c r="C321" s="448"/>
      <c r="D321" s="448"/>
      <c r="E321" s="448"/>
      <c r="F321" s="448"/>
      <c r="G321" s="448"/>
      <c r="H321" s="448"/>
      <c r="I321" s="448"/>
    </row>
    <row r="322" ht="15.75" customHeight="1">
      <c r="B322" s="448"/>
      <c r="C322" s="448"/>
      <c r="D322" s="448"/>
      <c r="E322" s="448"/>
      <c r="F322" s="448"/>
      <c r="G322" s="448"/>
      <c r="H322" s="448"/>
      <c r="I322" s="448"/>
    </row>
    <row r="323" ht="15.75" customHeight="1">
      <c r="B323" s="448"/>
      <c r="C323" s="448"/>
      <c r="D323" s="448"/>
      <c r="E323" s="448"/>
      <c r="F323" s="448"/>
      <c r="G323" s="448"/>
      <c r="H323" s="448"/>
      <c r="I323" s="448"/>
    </row>
    <row r="324" ht="15.75" customHeight="1">
      <c r="B324" s="448"/>
      <c r="C324" s="448"/>
      <c r="D324" s="448"/>
      <c r="E324" s="448"/>
      <c r="F324" s="448"/>
      <c r="G324" s="448"/>
      <c r="H324" s="448"/>
      <c r="I324" s="448"/>
    </row>
    <row r="325" ht="15.75" customHeight="1">
      <c r="B325" s="448"/>
      <c r="C325" s="448"/>
      <c r="D325" s="448"/>
      <c r="E325" s="448"/>
      <c r="F325" s="448"/>
      <c r="G325" s="448"/>
      <c r="H325" s="448"/>
      <c r="I325" s="448"/>
    </row>
    <row r="326" ht="15.75" customHeight="1">
      <c r="B326" s="448"/>
      <c r="C326" s="448"/>
      <c r="D326" s="448"/>
      <c r="E326" s="448"/>
      <c r="F326" s="448"/>
      <c r="G326" s="448"/>
      <c r="H326" s="448"/>
      <c r="I326" s="448"/>
    </row>
    <row r="327" ht="15.75" customHeight="1">
      <c r="B327" s="448"/>
      <c r="C327" s="448"/>
      <c r="D327" s="448"/>
      <c r="E327" s="448"/>
      <c r="F327" s="448"/>
      <c r="G327" s="448"/>
      <c r="H327" s="448"/>
      <c r="I327" s="448"/>
    </row>
    <row r="328" ht="15.75" customHeight="1">
      <c r="B328" s="448"/>
      <c r="C328" s="448"/>
      <c r="D328" s="448"/>
      <c r="E328" s="448"/>
      <c r="F328" s="448"/>
      <c r="G328" s="448"/>
      <c r="H328" s="448"/>
      <c r="I328" s="448"/>
    </row>
    <row r="329" ht="15.75" customHeight="1">
      <c r="B329" s="448"/>
      <c r="C329" s="448"/>
      <c r="D329" s="448"/>
      <c r="E329" s="448"/>
      <c r="F329" s="448"/>
      <c r="G329" s="448"/>
      <c r="H329" s="448"/>
      <c r="I329" s="448"/>
    </row>
    <row r="330" ht="15.75" customHeight="1">
      <c r="B330" s="448"/>
      <c r="C330" s="448"/>
      <c r="D330" s="448"/>
      <c r="E330" s="448"/>
      <c r="F330" s="448"/>
      <c r="G330" s="448"/>
      <c r="H330" s="448"/>
      <c r="I330" s="448"/>
    </row>
    <row r="331" ht="15.75" customHeight="1">
      <c r="B331" s="448"/>
      <c r="C331" s="448"/>
      <c r="D331" s="448"/>
      <c r="E331" s="448"/>
      <c r="F331" s="448"/>
      <c r="G331" s="448"/>
      <c r="H331" s="448"/>
      <c r="I331" s="448"/>
    </row>
    <row r="332" ht="15.75" customHeight="1">
      <c r="B332" s="448"/>
      <c r="C332" s="448"/>
      <c r="D332" s="448"/>
      <c r="E332" s="448"/>
      <c r="F332" s="448"/>
      <c r="G332" s="448"/>
      <c r="H332" s="448"/>
      <c r="I332" s="448"/>
    </row>
    <row r="333" ht="15.75" customHeight="1">
      <c r="B333" s="448"/>
      <c r="C333" s="448"/>
      <c r="D333" s="448"/>
      <c r="E333" s="448"/>
      <c r="F333" s="448"/>
      <c r="G333" s="448"/>
      <c r="H333" s="448"/>
      <c r="I333" s="448"/>
    </row>
    <row r="334" ht="15.75" customHeight="1">
      <c r="B334" s="448"/>
      <c r="C334" s="448"/>
      <c r="D334" s="448"/>
      <c r="E334" s="448"/>
      <c r="F334" s="448"/>
      <c r="G334" s="448"/>
      <c r="H334" s="448"/>
      <c r="I334" s="448"/>
    </row>
    <row r="335" ht="15.75" customHeight="1">
      <c r="B335" s="448"/>
      <c r="C335" s="448"/>
      <c r="D335" s="448"/>
      <c r="E335" s="448"/>
      <c r="F335" s="448"/>
      <c r="G335" s="448"/>
      <c r="H335" s="448"/>
      <c r="I335" s="448"/>
    </row>
    <row r="336" ht="15.75" customHeight="1">
      <c r="B336" s="448"/>
      <c r="C336" s="448"/>
      <c r="D336" s="448"/>
      <c r="E336" s="448"/>
      <c r="F336" s="448"/>
      <c r="G336" s="448"/>
      <c r="H336" s="448"/>
      <c r="I336" s="448"/>
    </row>
    <row r="337" ht="15.75" customHeight="1">
      <c r="B337" s="448"/>
      <c r="C337" s="448"/>
      <c r="D337" s="448"/>
      <c r="E337" s="448"/>
      <c r="F337" s="448"/>
      <c r="G337" s="448"/>
      <c r="H337" s="448"/>
      <c r="I337" s="448"/>
    </row>
    <row r="338" ht="15.75" customHeight="1">
      <c r="B338" s="448"/>
      <c r="C338" s="448"/>
      <c r="D338" s="448"/>
      <c r="E338" s="448"/>
      <c r="F338" s="448"/>
      <c r="G338" s="448"/>
      <c r="H338" s="448"/>
      <c r="I338" s="448"/>
    </row>
    <row r="339" ht="15.75" customHeight="1">
      <c r="B339" s="448"/>
      <c r="C339" s="448"/>
      <c r="D339" s="448"/>
      <c r="E339" s="448"/>
      <c r="F339" s="448"/>
      <c r="G339" s="448"/>
      <c r="H339" s="448"/>
      <c r="I339" s="448"/>
    </row>
    <row r="340" ht="15.75" customHeight="1">
      <c r="B340" s="448"/>
      <c r="C340" s="448"/>
      <c r="D340" s="448"/>
      <c r="E340" s="448"/>
      <c r="F340" s="448"/>
      <c r="G340" s="448"/>
      <c r="H340" s="448"/>
      <c r="I340" s="448"/>
    </row>
    <row r="341" ht="15.75" customHeight="1">
      <c r="B341" s="448"/>
      <c r="C341" s="448"/>
      <c r="D341" s="448"/>
      <c r="E341" s="448"/>
      <c r="F341" s="448"/>
      <c r="G341" s="448"/>
      <c r="H341" s="448"/>
      <c r="I341" s="448"/>
    </row>
    <row r="342" ht="15.75" customHeight="1">
      <c r="B342" s="448"/>
      <c r="C342" s="448"/>
      <c r="D342" s="448"/>
      <c r="E342" s="448"/>
      <c r="F342" s="448"/>
      <c r="G342" s="448"/>
      <c r="H342" s="448"/>
      <c r="I342" s="448"/>
    </row>
    <row r="343" ht="15.75" customHeight="1">
      <c r="B343" s="448"/>
      <c r="C343" s="448"/>
      <c r="D343" s="448"/>
      <c r="E343" s="448"/>
      <c r="F343" s="448"/>
      <c r="G343" s="448"/>
      <c r="H343" s="448"/>
      <c r="I343" s="448"/>
    </row>
    <row r="344" ht="15.75" customHeight="1">
      <c r="B344" s="448"/>
      <c r="C344" s="448"/>
      <c r="D344" s="448"/>
      <c r="E344" s="448"/>
      <c r="F344" s="448"/>
      <c r="G344" s="448"/>
      <c r="H344" s="448"/>
      <c r="I344" s="448"/>
    </row>
    <row r="345" ht="15.75" customHeight="1">
      <c r="B345" s="448"/>
      <c r="C345" s="448"/>
      <c r="D345" s="448"/>
      <c r="E345" s="448"/>
      <c r="F345" s="448"/>
      <c r="G345" s="448"/>
      <c r="H345" s="448"/>
      <c r="I345" s="448"/>
    </row>
    <row r="346" ht="15.75" customHeight="1">
      <c r="B346" s="448"/>
      <c r="C346" s="448"/>
      <c r="D346" s="448"/>
      <c r="E346" s="448"/>
      <c r="F346" s="448"/>
      <c r="G346" s="448"/>
      <c r="H346" s="448"/>
      <c r="I346" s="448"/>
    </row>
    <row r="347" ht="15.75" customHeight="1">
      <c r="B347" s="448"/>
      <c r="C347" s="448"/>
      <c r="D347" s="448"/>
      <c r="E347" s="448"/>
      <c r="F347" s="448"/>
      <c r="G347" s="448"/>
      <c r="H347" s="448"/>
      <c r="I347" s="448"/>
    </row>
    <row r="348" ht="15.75" customHeight="1">
      <c r="B348" s="448"/>
      <c r="C348" s="448"/>
      <c r="D348" s="448"/>
      <c r="E348" s="448"/>
      <c r="F348" s="448"/>
      <c r="G348" s="448"/>
      <c r="H348" s="448"/>
      <c r="I348" s="448"/>
    </row>
    <row r="349" ht="15.75" customHeight="1">
      <c r="B349" s="448"/>
      <c r="C349" s="448"/>
      <c r="D349" s="448"/>
      <c r="E349" s="448"/>
      <c r="F349" s="448"/>
      <c r="G349" s="448"/>
      <c r="H349" s="448"/>
      <c r="I349" s="448"/>
    </row>
    <row r="350" ht="15.75" customHeight="1">
      <c r="B350" s="448"/>
      <c r="C350" s="448"/>
      <c r="D350" s="448"/>
      <c r="E350" s="448"/>
      <c r="F350" s="448"/>
      <c r="G350" s="448"/>
      <c r="H350" s="448"/>
      <c r="I350" s="448"/>
    </row>
    <row r="351" ht="15.75" customHeight="1">
      <c r="B351" s="448"/>
      <c r="C351" s="448"/>
      <c r="D351" s="448"/>
      <c r="E351" s="448"/>
      <c r="F351" s="448"/>
      <c r="G351" s="448"/>
      <c r="H351" s="448"/>
      <c r="I351" s="448"/>
    </row>
    <row r="352" ht="15.75" customHeight="1">
      <c r="B352" s="448"/>
      <c r="C352" s="448"/>
      <c r="D352" s="448"/>
      <c r="E352" s="448"/>
      <c r="F352" s="448"/>
      <c r="G352" s="448"/>
      <c r="H352" s="448"/>
      <c r="I352" s="448"/>
    </row>
    <row r="353" ht="15.75" customHeight="1">
      <c r="B353" s="448"/>
      <c r="C353" s="448"/>
      <c r="D353" s="448"/>
      <c r="E353" s="448"/>
      <c r="F353" s="448"/>
      <c r="G353" s="448"/>
      <c r="H353" s="448"/>
      <c r="I353" s="448"/>
    </row>
    <row r="354" ht="15.75" customHeight="1">
      <c r="B354" s="448"/>
      <c r="C354" s="448"/>
      <c r="D354" s="448"/>
      <c r="E354" s="448"/>
      <c r="F354" s="448"/>
      <c r="G354" s="448"/>
      <c r="H354" s="448"/>
      <c r="I354" s="448"/>
    </row>
    <row r="355" ht="15.75" customHeight="1">
      <c r="B355" s="448"/>
      <c r="C355" s="448"/>
      <c r="D355" s="448"/>
      <c r="E355" s="448"/>
      <c r="F355" s="448"/>
      <c r="G355" s="448"/>
      <c r="H355" s="448"/>
      <c r="I355" s="448"/>
    </row>
    <row r="356" ht="15.75" customHeight="1">
      <c r="B356" s="448"/>
      <c r="C356" s="448"/>
      <c r="D356" s="448"/>
      <c r="E356" s="448"/>
      <c r="F356" s="448"/>
      <c r="G356" s="448"/>
      <c r="H356" s="448"/>
      <c r="I356" s="448"/>
    </row>
    <row r="357" ht="15.75" customHeight="1">
      <c r="B357" s="448"/>
      <c r="C357" s="448"/>
      <c r="D357" s="448"/>
      <c r="E357" s="448"/>
      <c r="F357" s="448"/>
      <c r="G357" s="448"/>
      <c r="H357" s="448"/>
      <c r="I357" s="448"/>
    </row>
    <row r="358" ht="15.75" customHeight="1">
      <c r="B358" s="448"/>
      <c r="C358" s="448"/>
      <c r="D358" s="448"/>
      <c r="E358" s="448"/>
      <c r="F358" s="448"/>
      <c r="G358" s="448"/>
      <c r="H358" s="448"/>
      <c r="I358" s="448"/>
    </row>
    <row r="359" ht="15.75" customHeight="1">
      <c r="B359" s="448"/>
      <c r="C359" s="448"/>
      <c r="D359" s="448"/>
      <c r="E359" s="448"/>
      <c r="F359" s="448"/>
      <c r="G359" s="448"/>
      <c r="H359" s="448"/>
      <c r="I359" s="448"/>
    </row>
    <row r="360" ht="15.75" customHeight="1">
      <c r="B360" s="448"/>
      <c r="C360" s="448"/>
      <c r="D360" s="448"/>
      <c r="E360" s="448"/>
      <c r="F360" s="448"/>
      <c r="G360" s="448"/>
      <c r="H360" s="448"/>
      <c r="I360" s="448"/>
    </row>
    <row r="361" ht="15.75" customHeight="1">
      <c r="B361" s="448"/>
      <c r="C361" s="448"/>
      <c r="D361" s="448"/>
      <c r="E361" s="448"/>
      <c r="F361" s="448"/>
      <c r="G361" s="448"/>
      <c r="H361" s="448"/>
      <c r="I361" s="448"/>
    </row>
    <row r="362" ht="15.75" customHeight="1">
      <c r="B362" s="448"/>
      <c r="C362" s="448"/>
      <c r="D362" s="448"/>
      <c r="E362" s="448"/>
      <c r="F362" s="448"/>
      <c r="G362" s="448"/>
      <c r="H362" s="448"/>
      <c r="I362" s="448"/>
    </row>
    <row r="363" ht="15.75" customHeight="1">
      <c r="B363" s="448"/>
      <c r="C363" s="448"/>
      <c r="D363" s="448"/>
      <c r="E363" s="448"/>
      <c r="F363" s="448"/>
      <c r="G363" s="448"/>
      <c r="H363" s="448"/>
      <c r="I363" s="448"/>
    </row>
    <row r="364" ht="15.75" customHeight="1">
      <c r="B364" s="448"/>
      <c r="C364" s="448"/>
      <c r="D364" s="448"/>
      <c r="E364" s="448"/>
      <c r="F364" s="448"/>
      <c r="G364" s="448"/>
      <c r="H364" s="448"/>
      <c r="I364" s="448"/>
    </row>
    <row r="365" ht="15.75" customHeight="1">
      <c r="B365" s="448"/>
      <c r="C365" s="448"/>
      <c r="D365" s="448"/>
      <c r="E365" s="448"/>
      <c r="F365" s="448"/>
      <c r="G365" s="448"/>
      <c r="H365" s="448"/>
      <c r="I365" s="448"/>
    </row>
    <row r="366" ht="15.75" customHeight="1">
      <c r="B366" s="448"/>
      <c r="C366" s="448"/>
      <c r="D366" s="448"/>
      <c r="E366" s="448"/>
      <c r="F366" s="448"/>
      <c r="G366" s="448"/>
      <c r="H366" s="448"/>
      <c r="I366" s="448"/>
    </row>
    <row r="367" ht="15.75" customHeight="1">
      <c r="B367" s="448"/>
      <c r="C367" s="448"/>
      <c r="D367" s="448"/>
      <c r="E367" s="448"/>
      <c r="F367" s="448"/>
      <c r="G367" s="448"/>
      <c r="H367" s="448"/>
      <c r="I367" s="448"/>
    </row>
    <row r="368" ht="15.75" customHeight="1">
      <c r="B368" s="448"/>
      <c r="C368" s="448"/>
      <c r="D368" s="448"/>
      <c r="E368" s="448"/>
      <c r="F368" s="448"/>
      <c r="G368" s="448"/>
      <c r="H368" s="448"/>
      <c r="I368" s="448"/>
    </row>
    <row r="369" ht="15.75" customHeight="1">
      <c r="B369" s="448"/>
      <c r="C369" s="448"/>
      <c r="D369" s="448"/>
      <c r="E369" s="448"/>
      <c r="F369" s="448"/>
      <c r="G369" s="448"/>
      <c r="H369" s="448"/>
      <c r="I369" s="448"/>
    </row>
    <row r="370" ht="15.75" customHeight="1">
      <c r="B370" s="448"/>
      <c r="C370" s="448"/>
      <c r="D370" s="448"/>
      <c r="E370" s="448"/>
      <c r="F370" s="448"/>
      <c r="G370" s="448"/>
      <c r="H370" s="448"/>
      <c r="I370" s="448"/>
    </row>
    <row r="371" ht="15.75" customHeight="1">
      <c r="B371" s="448"/>
      <c r="C371" s="448"/>
      <c r="D371" s="448"/>
      <c r="E371" s="448"/>
      <c r="F371" s="448"/>
      <c r="G371" s="448"/>
      <c r="H371" s="448"/>
      <c r="I371" s="448"/>
    </row>
    <row r="372" ht="15.75" customHeight="1">
      <c r="B372" s="448"/>
      <c r="C372" s="448"/>
      <c r="D372" s="448"/>
      <c r="E372" s="448"/>
      <c r="F372" s="448"/>
      <c r="G372" s="448"/>
      <c r="H372" s="448"/>
      <c r="I372" s="448"/>
    </row>
    <row r="373" ht="15.75" customHeight="1">
      <c r="B373" s="448"/>
      <c r="C373" s="448"/>
      <c r="D373" s="448"/>
      <c r="E373" s="448"/>
      <c r="F373" s="448"/>
      <c r="G373" s="448"/>
      <c r="H373" s="448"/>
      <c r="I373" s="448"/>
    </row>
    <row r="374" ht="15.75" customHeight="1">
      <c r="B374" s="448"/>
      <c r="C374" s="448"/>
      <c r="D374" s="448"/>
      <c r="E374" s="448"/>
      <c r="F374" s="448"/>
      <c r="G374" s="448"/>
      <c r="H374" s="448"/>
      <c r="I374" s="448"/>
    </row>
    <row r="375" ht="15.75" customHeight="1">
      <c r="B375" s="448"/>
      <c r="C375" s="448"/>
      <c r="D375" s="448"/>
      <c r="E375" s="448"/>
      <c r="F375" s="448"/>
      <c r="G375" s="448"/>
      <c r="H375" s="448"/>
      <c r="I375" s="448"/>
    </row>
    <row r="376" ht="15.75" customHeight="1">
      <c r="B376" s="448"/>
      <c r="C376" s="448"/>
      <c r="D376" s="448"/>
      <c r="E376" s="448"/>
      <c r="F376" s="448"/>
      <c r="G376" s="448"/>
      <c r="H376" s="448"/>
      <c r="I376" s="448"/>
    </row>
    <row r="377" ht="15.75" customHeight="1">
      <c r="B377" s="448"/>
      <c r="C377" s="448"/>
      <c r="D377" s="448"/>
      <c r="E377" s="448"/>
      <c r="F377" s="448"/>
      <c r="G377" s="448"/>
      <c r="H377" s="448"/>
      <c r="I377" s="448"/>
    </row>
    <row r="378" ht="15.75" customHeight="1">
      <c r="B378" s="448"/>
      <c r="C378" s="448"/>
      <c r="D378" s="448"/>
      <c r="E378" s="448"/>
      <c r="F378" s="448"/>
      <c r="G378" s="448"/>
      <c r="H378" s="448"/>
      <c r="I378" s="448"/>
    </row>
    <row r="379" ht="15.75" customHeight="1">
      <c r="B379" s="448"/>
      <c r="C379" s="448"/>
      <c r="D379" s="448"/>
      <c r="E379" s="448"/>
      <c r="F379" s="448"/>
      <c r="G379" s="448"/>
      <c r="H379" s="448"/>
      <c r="I379" s="448"/>
    </row>
    <row r="380" ht="15.75" customHeight="1">
      <c r="B380" s="448"/>
      <c r="C380" s="448"/>
      <c r="D380" s="448"/>
      <c r="E380" s="448"/>
      <c r="F380" s="448"/>
      <c r="G380" s="448"/>
      <c r="H380" s="448"/>
      <c r="I380" s="448"/>
    </row>
    <row r="381" ht="15.75" customHeight="1">
      <c r="B381" s="448"/>
      <c r="C381" s="448"/>
      <c r="D381" s="448"/>
      <c r="E381" s="448"/>
      <c r="F381" s="448"/>
      <c r="G381" s="448"/>
      <c r="H381" s="448"/>
      <c r="I381" s="448"/>
    </row>
    <row r="382" ht="15.75" customHeight="1">
      <c r="B382" s="448"/>
      <c r="C382" s="448"/>
      <c r="D382" s="448"/>
      <c r="E382" s="448"/>
      <c r="F382" s="448"/>
      <c r="G382" s="448"/>
      <c r="H382" s="448"/>
      <c r="I382" s="448"/>
    </row>
    <row r="383" ht="15.75" customHeight="1">
      <c r="B383" s="448"/>
      <c r="C383" s="448"/>
      <c r="D383" s="448"/>
      <c r="E383" s="448"/>
      <c r="F383" s="448"/>
      <c r="G383" s="448"/>
      <c r="H383" s="448"/>
      <c r="I383" s="448"/>
    </row>
    <row r="384" ht="15.75" customHeight="1">
      <c r="B384" s="448"/>
      <c r="C384" s="448"/>
      <c r="D384" s="448"/>
      <c r="E384" s="448"/>
      <c r="F384" s="448"/>
      <c r="G384" s="448"/>
      <c r="H384" s="448"/>
      <c r="I384" s="448"/>
    </row>
    <row r="385" ht="15.75" customHeight="1">
      <c r="B385" s="448"/>
      <c r="C385" s="448"/>
      <c r="D385" s="448"/>
      <c r="E385" s="448"/>
      <c r="F385" s="448"/>
      <c r="G385" s="448"/>
      <c r="H385" s="448"/>
      <c r="I385" s="448"/>
    </row>
    <row r="386" ht="15.75" customHeight="1">
      <c r="B386" s="448"/>
      <c r="C386" s="448"/>
      <c r="D386" s="448"/>
      <c r="E386" s="448"/>
      <c r="F386" s="448"/>
      <c r="G386" s="448"/>
      <c r="H386" s="448"/>
      <c r="I386" s="448"/>
    </row>
    <row r="387" ht="15.75" customHeight="1">
      <c r="B387" s="448"/>
      <c r="C387" s="448"/>
      <c r="D387" s="448"/>
      <c r="E387" s="448"/>
      <c r="F387" s="448"/>
      <c r="G387" s="448"/>
      <c r="H387" s="448"/>
      <c r="I387" s="448"/>
    </row>
    <row r="388" ht="15.75" customHeight="1">
      <c r="B388" s="448"/>
      <c r="C388" s="448"/>
      <c r="D388" s="448"/>
      <c r="E388" s="448"/>
      <c r="F388" s="448"/>
      <c r="G388" s="448"/>
      <c r="H388" s="448"/>
      <c r="I388" s="448"/>
    </row>
    <row r="389" ht="15.75" customHeight="1">
      <c r="B389" s="448"/>
      <c r="C389" s="448"/>
      <c r="D389" s="448"/>
      <c r="E389" s="448"/>
      <c r="F389" s="448"/>
      <c r="G389" s="448"/>
      <c r="H389" s="448"/>
      <c r="I389" s="448"/>
    </row>
    <row r="390" ht="15.75" customHeight="1">
      <c r="B390" s="448"/>
      <c r="C390" s="448"/>
      <c r="D390" s="448"/>
      <c r="E390" s="448"/>
      <c r="F390" s="448"/>
      <c r="G390" s="448"/>
      <c r="H390" s="448"/>
      <c r="I390" s="448"/>
    </row>
    <row r="391" ht="15.75" customHeight="1">
      <c r="B391" s="448"/>
      <c r="C391" s="448"/>
      <c r="D391" s="448"/>
      <c r="E391" s="448"/>
      <c r="F391" s="448"/>
      <c r="G391" s="448"/>
      <c r="H391" s="448"/>
      <c r="I391" s="448"/>
    </row>
    <row r="392" ht="15.75" customHeight="1">
      <c r="B392" s="448"/>
      <c r="C392" s="448"/>
      <c r="D392" s="448"/>
      <c r="E392" s="448"/>
      <c r="F392" s="448"/>
      <c r="G392" s="448"/>
      <c r="H392" s="448"/>
      <c r="I392" s="448"/>
    </row>
    <row r="393" ht="15.75" customHeight="1">
      <c r="B393" s="448"/>
      <c r="C393" s="448"/>
      <c r="D393" s="448"/>
      <c r="E393" s="448"/>
      <c r="F393" s="448"/>
      <c r="G393" s="448"/>
      <c r="H393" s="448"/>
      <c r="I393" s="448"/>
    </row>
    <row r="394" ht="15.75" customHeight="1">
      <c r="B394" s="448"/>
      <c r="C394" s="448"/>
      <c r="D394" s="448"/>
      <c r="E394" s="448"/>
      <c r="F394" s="448"/>
      <c r="G394" s="448"/>
      <c r="H394" s="448"/>
      <c r="I394" s="448"/>
    </row>
    <row r="395" ht="15.75" customHeight="1">
      <c r="B395" s="448"/>
      <c r="C395" s="448"/>
      <c r="D395" s="448"/>
      <c r="E395" s="448"/>
      <c r="F395" s="448"/>
      <c r="G395" s="448"/>
      <c r="H395" s="448"/>
      <c r="I395" s="448"/>
    </row>
    <row r="396" ht="15.75" customHeight="1">
      <c r="B396" s="448"/>
      <c r="C396" s="448"/>
      <c r="D396" s="448"/>
      <c r="E396" s="448"/>
      <c r="F396" s="448"/>
      <c r="G396" s="448"/>
      <c r="H396" s="448"/>
      <c r="I396" s="448"/>
    </row>
    <row r="397" ht="15.75" customHeight="1">
      <c r="B397" s="448"/>
      <c r="C397" s="448"/>
      <c r="D397" s="448"/>
      <c r="E397" s="448"/>
      <c r="F397" s="448"/>
      <c r="G397" s="448"/>
      <c r="H397" s="448"/>
      <c r="I397" s="448"/>
    </row>
    <row r="398" ht="15.75" customHeight="1">
      <c r="B398" s="448"/>
      <c r="C398" s="448"/>
      <c r="D398" s="448"/>
      <c r="E398" s="448"/>
      <c r="F398" s="448"/>
      <c r="G398" s="448"/>
      <c r="H398" s="448"/>
      <c r="I398" s="448"/>
    </row>
    <row r="399" ht="15.75" customHeight="1">
      <c r="B399" s="448"/>
      <c r="C399" s="448"/>
      <c r="D399" s="448"/>
      <c r="E399" s="448"/>
      <c r="F399" s="448"/>
      <c r="G399" s="448"/>
      <c r="H399" s="448"/>
      <c r="I399" s="448"/>
    </row>
    <row r="400" ht="15.75" customHeight="1">
      <c r="B400" s="448"/>
      <c r="C400" s="448"/>
      <c r="D400" s="448"/>
      <c r="E400" s="448"/>
      <c r="F400" s="448"/>
      <c r="G400" s="448"/>
      <c r="H400" s="448"/>
      <c r="I400" s="448"/>
    </row>
    <row r="401" ht="15.75" customHeight="1">
      <c r="B401" s="448"/>
      <c r="C401" s="448"/>
      <c r="D401" s="448"/>
      <c r="E401" s="448"/>
      <c r="F401" s="448"/>
      <c r="G401" s="448"/>
      <c r="H401" s="448"/>
      <c r="I401" s="448"/>
    </row>
    <row r="402" ht="15.75" customHeight="1">
      <c r="B402" s="448"/>
      <c r="C402" s="448"/>
      <c r="D402" s="448"/>
      <c r="E402" s="448"/>
      <c r="F402" s="448"/>
      <c r="G402" s="448"/>
      <c r="H402" s="448"/>
      <c r="I402" s="448"/>
    </row>
    <row r="403" ht="15.75" customHeight="1">
      <c r="B403" s="448"/>
      <c r="C403" s="448"/>
      <c r="D403" s="448"/>
      <c r="E403" s="448"/>
      <c r="F403" s="448"/>
      <c r="G403" s="448"/>
      <c r="H403" s="448"/>
      <c r="I403" s="448"/>
    </row>
    <row r="404" ht="15.75" customHeight="1">
      <c r="B404" s="448"/>
      <c r="C404" s="448"/>
      <c r="D404" s="448"/>
      <c r="E404" s="448"/>
      <c r="F404" s="448"/>
      <c r="G404" s="448"/>
      <c r="H404" s="448"/>
      <c r="I404" s="448"/>
    </row>
    <row r="405" ht="15.75" customHeight="1">
      <c r="B405" s="448"/>
      <c r="C405" s="448"/>
      <c r="D405" s="448"/>
      <c r="E405" s="448"/>
      <c r="F405" s="448"/>
      <c r="G405" s="448"/>
      <c r="H405" s="448"/>
      <c r="I405" s="448"/>
    </row>
    <row r="406" ht="15.75" customHeight="1">
      <c r="B406" s="448"/>
      <c r="C406" s="448"/>
      <c r="D406" s="448"/>
      <c r="E406" s="448"/>
      <c r="F406" s="448"/>
      <c r="G406" s="448"/>
      <c r="H406" s="448"/>
      <c r="I406" s="448"/>
    </row>
    <row r="407" ht="15.75" customHeight="1">
      <c r="B407" s="448"/>
      <c r="C407" s="448"/>
      <c r="D407" s="448"/>
      <c r="E407" s="448"/>
      <c r="F407" s="448"/>
      <c r="G407" s="448"/>
      <c r="H407" s="448"/>
      <c r="I407" s="448"/>
    </row>
    <row r="408" ht="15.75" customHeight="1">
      <c r="B408" s="448"/>
      <c r="C408" s="448"/>
      <c r="D408" s="448"/>
      <c r="E408" s="448"/>
      <c r="F408" s="448"/>
      <c r="G408" s="448"/>
      <c r="H408" s="448"/>
      <c r="I408" s="448"/>
    </row>
    <row r="409" ht="15.75" customHeight="1">
      <c r="B409" s="448"/>
      <c r="C409" s="448"/>
      <c r="D409" s="448"/>
      <c r="E409" s="448"/>
      <c r="F409" s="448"/>
      <c r="G409" s="448"/>
      <c r="H409" s="448"/>
      <c r="I409" s="448"/>
    </row>
    <row r="410" ht="15.75" customHeight="1">
      <c r="B410" s="448"/>
      <c r="C410" s="448"/>
      <c r="D410" s="448"/>
      <c r="E410" s="448"/>
      <c r="F410" s="448"/>
      <c r="G410" s="448"/>
      <c r="H410" s="448"/>
      <c r="I410" s="448"/>
    </row>
    <row r="411" ht="15.75" customHeight="1">
      <c r="B411" s="448"/>
      <c r="C411" s="448"/>
      <c r="D411" s="448"/>
      <c r="E411" s="448"/>
      <c r="F411" s="448"/>
      <c r="G411" s="448"/>
      <c r="H411" s="448"/>
      <c r="I411" s="448"/>
    </row>
    <row r="412" ht="15.75" customHeight="1">
      <c r="B412" s="448"/>
      <c r="C412" s="448"/>
      <c r="D412" s="448"/>
      <c r="E412" s="448"/>
      <c r="F412" s="448"/>
      <c r="G412" s="448"/>
      <c r="H412" s="448"/>
      <c r="I412" s="448"/>
    </row>
    <row r="413" ht="15.75" customHeight="1">
      <c r="B413" s="448"/>
      <c r="C413" s="448"/>
      <c r="D413" s="448"/>
      <c r="E413" s="448"/>
      <c r="F413" s="448"/>
      <c r="G413" s="448"/>
      <c r="H413" s="448"/>
      <c r="I413" s="448"/>
    </row>
    <row r="414" ht="15.75" customHeight="1">
      <c r="B414" s="448"/>
      <c r="C414" s="448"/>
      <c r="D414" s="448"/>
      <c r="E414" s="448"/>
      <c r="F414" s="448"/>
      <c r="G414" s="448"/>
      <c r="H414" s="448"/>
      <c r="I414" s="448"/>
    </row>
    <row r="415" ht="15.75" customHeight="1">
      <c r="B415" s="448"/>
      <c r="C415" s="448"/>
      <c r="D415" s="448"/>
      <c r="E415" s="448"/>
      <c r="F415" s="448"/>
      <c r="G415" s="448"/>
      <c r="H415" s="448"/>
      <c r="I415" s="448"/>
    </row>
    <row r="416" ht="15.75" customHeight="1">
      <c r="B416" s="448"/>
      <c r="C416" s="448"/>
      <c r="D416" s="448"/>
      <c r="E416" s="448"/>
      <c r="F416" s="448"/>
      <c r="G416" s="448"/>
      <c r="H416" s="448"/>
      <c r="I416" s="448"/>
    </row>
    <row r="417" ht="15.75" customHeight="1">
      <c r="B417" s="448"/>
      <c r="C417" s="448"/>
      <c r="D417" s="448"/>
      <c r="E417" s="448"/>
      <c r="F417" s="448"/>
      <c r="G417" s="448"/>
      <c r="H417" s="448"/>
      <c r="I417" s="448"/>
    </row>
    <row r="418" ht="15.75" customHeight="1">
      <c r="B418" s="448"/>
      <c r="C418" s="448"/>
      <c r="D418" s="448"/>
      <c r="E418" s="448"/>
      <c r="F418" s="448"/>
      <c r="G418" s="448"/>
      <c r="H418" s="448"/>
      <c r="I418" s="448"/>
    </row>
    <row r="419" ht="15.75" customHeight="1">
      <c r="B419" s="448"/>
      <c r="C419" s="448"/>
      <c r="D419" s="448"/>
      <c r="E419" s="448"/>
      <c r="F419" s="448"/>
      <c r="G419" s="448"/>
      <c r="H419" s="448"/>
      <c r="I419" s="448"/>
    </row>
    <row r="420" ht="15.75" customHeight="1">
      <c r="B420" s="448"/>
      <c r="C420" s="448"/>
      <c r="D420" s="448"/>
      <c r="E420" s="448"/>
      <c r="F420" s="448"/>
      <c r="G420" s="448"/>
      <c r="H420" s="448"/>
      <c r="I420" s="448"/>
    </row>
    <row r="421" ht="15.75" customHeight="1">
      <c r="B421" s="448"/>
      <c r="C421" s="448"/>
      <c r="D421" s="448"/>
      <c r="E421" s="448"/>
      <c r="F421" s="448"/>
      <c r="G421" s="448"/>
      <c r="H421" s="448"/>
      <c r="I421" s="448"/>
    </row>
    <row r="422" ht="15.75" customHeight="1">
      <c r="B422" s="448"/>
      <c r="C422" s="448"/>
      <c r="D422" s="448"/>
      <c r="E422" s="448"/>
      <c r="F422" s="448"/>
      <c r="G422" s="448"/>
      <c r="H422" s="448"/>
      <c r="I422" s="448"/>
    </row>
    <row r="423" ht="15.75" customHeight="1">
      <c r="B423" s="448"/>
      <c r="C423" s="448"/>
      <c r="D423" s="448"/>
      <c r="E423" s="448"/>
      <c r="F423" s="448"/>
      <c r="G423" s="448"/>
      <c r="H423" s="448"/>
      <c r="I423" s="448"/>
    </row>
    <row r="424" ht="15.75" customHeight="1">
      <c r="B424" s="448"/>
      <c r="C424" s="448"/>
      <c r="D424" s="448"/>
      <c r="E424" s="448"/>
      <c r="F424" s="448"/>
      <c r="G424" s="448"/>
      <c r="H424" s="448"/>
      <c r="I424" s="448"/>
    </row>
    <row r="425" ht="15.75" customHeight="1">
      <c r="B425" s="448"/>
      <c r="C425" s="448"/>
      <c r="D425" s="448"/>
      <c r="E425" s="448"/>
      <c r="F425" s="448"/>
      <c r="G425" s="448"/>
      <c r="H425" s="448"/>
      <c r="I425" s="448"/>
    </row>
    <row r="426" ht="15.75" customHeight="1">
      <c r="B426" s="448"/>
      <c r="C426" s="448"/>
      <c r="D426" s="448"/>
      <c r="E426" s="448"/>
      <c r="F426" s="448"/>
      <c r="G426" s="448"/>
      <c r="H426" s="448"/>
      <c r="I426" s="448"/>
    </row>
    <row r="427" ht="15.75" customHeight="1">
      <c r="B427" s="448"/>
      <c r="C427" s="448"/>
      <c r="D427" s="448"/>
      <c r="E427" s="448"/>
      <c r="F427" s="448"/>
      <c r="G427" s="448"/>
      <c r="H427" s="448"/>
      <c r="I427" s="448"/>
    </row>
    <row r="428" ht="15.75" customHeight="1">
      <c r="B428" s="448"/>
      <c r="C428" s="448"/>
      <c r="D428" s="448"/>
      <c r="E428" s="448"/>
      <c r="F428" s="448"/>
      <c r="G428" s="448"/>
      <c r="H428" s="448"/>
      <c r="I428" s="448"/>
    </row>
    <row r="429" ht="15.75" customHeight="1">
      <c r="B429" s="448"/>
      <c r="C429" s="448"/>
      <c r="D429" s="448"/>
      <c r="E429" s="448"/>
      <c r="F429" s="448"/>
      <c r="G429" s="448"/>
      <c r="H429" s="448"/>
      <c r="I429" s="448"/>
    </row>
    <row r="430" ht="15.75" customHeight="1">
      <c r="B430" s="448"/>
      <c r="C430" s="448"/>
      <c r="D430" s="448"/>
      <c r="E430" s="448"/>
      <c r="F430" s="448"/>
      <c r="G430" s="448"/>
      <c r="H430" s="448"/>
      <c r="I430" s="448"/>
    </row>
    <row r="431" ht="15.75" customHeight="1">
      <c r="B431" s="448"/>
      <c r="C431" s="448"/>
      <c r="D431" s="448"/>
      <c r="E431" s="448"/>
      <c r="F431" s="448"/>
      <c r="G431" s="448"/>
      <c r="H431" s="448"/>
      <c r="I431" s="448"/>
    </row>
    <row r="432" ht="15.75" customHeight="1">
      <c r="B432" s="448"/>
      <c r="C432" s="448"/>
      <c r="D432" s="448"/>
      <c r="E432" s="448"/>
      <c r="F432" s="448"/>
      <c r="G432" s="448"/>
      <c r="H432" s="448"/>
      <c r="I432" s="448"/>
    </row>
    <row r="433" ht="15.75" customHeight="1">
      <c r="B433" s="448"/>
      <c r="C433" s="448"/>
      <c r="D433" s="448"/>
      <c r="E433" s="448"/>
      <c r="F433" s="448"/>
      <c r="G433" s="448"/>
      <c r="H433" s="448"/>
      <c r="I433" s="448"/>
    </row>
    <row r="434" ht="15.75" customHeight="1">
      <c r="B434" s="448"/>
      <c r="C434" s="448"/>
      <c r="D434" s="448"/>
      <c r="E434" s="448"/>
      <c r="F434" s="448"/>
      <c r="G434" s="448"/>
      <c r="H434" s="448"/>
      <c r="I434" s="448"/>
    </row>
    <row r="435" ht="15.75" customHeight="1">
      <c r="B435" s="448"/>
      <c r="C435" s="448"/>
      <c r="D435" s="448"/>
      <c r="E435" s="448"/>
      <c r="F435" s="448"/>
      <c r="G435" s="448"/>
      <c r="H435" s="448"/>
      <c r="I435" s="448"/>
    </row>
    <row r="436" ht="15.75" customHeight="1">
      <c r="B436" s="448"/>
      <c r="C436" s="448"/>
      <c r="D436" s="448"/>
      <c r="E436" s="448"/>
      <c r="F436" s="448"/>
      <c r="G436" s="448"/>
      <c r="H436" s="448"/>
      <c r="I436" s="448"/>
    </row>
    <row r="437" ht="15.75" customHeight="1">
      <c r="B437" s="448"/>
      <c r="C437" s="448"/>
      <c r="D437" s="448"/>
      <c r="E437" s="448"/>
      <c r="F437" s="448"/>
      <c r="G437" s="448"/>
      <c r="H437" s="448"/>
      <c r="I437" s="448"/>
    </row>
    <row r="438" ht="15.75" customHeight="1">
      <c r="B438" s="448"/>
      <c r="C438" s="448"/>
      <c r="D438" s="448"/>
      <c r="E438" s="448"/>
      <c r="F438" s="448"/>
      <c r="G438" s="448"/>
      <c r="H438" s="448"/>
      <c r="I438" s="448"/>
    </row>
    <row r="439" ht="15.75" customHeight="1">
      <c r="B439" s="448"/>
      <c r="C439" s="448"/>
      <c r="D439" s="448"/>
      <c r="E439" s="448"/>
      <c r="F439" s="448"/>
      <c r="G439" s="448"/>
      <c r="H439" s="448"/>
      <c r="I439" s="448"/>
    </row>
    <row r="440" ht="15.75" customHeight="1">
      <c r="B440" s="448"/>
      <c r="C440" s="448"/>
      <c r="D440" s="448"/>
      <c r="E440" s="448"/>
      <c r="F440" s="448"/>
      <c r="G440" s="448"/>
      <c r="H440" s="448"/>
      <c r="I440" s="448"/>
    </row>
    <row r="441" ht="15.75" customHeight="1">
      <c r="B441" s="448"/>
      <c r="C441" s="448"/>
      <c r="D441" s="448"/>
      <c r="E441" s="448"/>
      <c r="F441" s="448"/>
      <c r="G441" s="448"/>
      <c r="H441" s="448"/>
      <c r="I441" s="448"/>
    </row>
    <row r="442" ht="15.75" customHeight="1">
      <c r="B442" s="448"/>
      <c r="C442" s="448"/>
      <c r="D442" s="448"/>
      <c r="E442" s="448"/>
      <c r="F442" s="448"/>
      <c r="G442" s="448"/>
      <c r="H442" s="448"/>
      <c r="I442" s="448"/>
    </row>
    <row r="443" ht="15.75" customHeight="1">
      <c r="B443" s="448"/>
      <c r="C443" s="448"/>
      <c r="D443" s="448"/>
      <c r="E443" s="448"/>
      <c r="F443" s="448"/>
      <c r="G443" s="448"/>
      <c r="H443" s="448"/>
      <c r="I443" s="448"/>
    </row>
    <row r="444" ht="15.75" customHeight="1">
      <c r="B444" s="448"/>
      <c r="C444" s="448"/>
      <c r="D444" s="448"/>
      <c r="E444" s="448"/>
      <c r="F444" s="448"/>
      <c r="G444" s="448"/>
      <c r="H444" s="448"/>
      <c r="I444" s="448"/>
    </row>
    <row r="445" ht="15.75" customHeight="1">
      <c r="B445" s="448"/>
      <c r="C445" s="448"/>
      <c r="D445" s="448"/>
      <c r="E445" s="448"/>
      <c r="F445" s="448"/>
      <c r="G445" s="448"/>
      <c r="H445" s="448"/>
      <c r="I445" s="448"/>
    </row>
    <row r="446" ht="15.75" customHeight="1">
      <c r="B446" s="448"/>
      <c r="C446" s="448"/>
      <c r="D446" s="448"/>
      <c r="E446" s="448"/>
      <c r="F446" s="448"/>
      <c r="G446" s="448"/>
      <c r="H446" s="448"/>
      <c r="I446" s="448"/>
    </row>
    <row r="447" ht="15.75" customHeight="1">
      <c r="B447" s="448"/>
      <c r="C447" s="448"/>
      <c r="D447" s="448"/>
      <c r="E447" s="448"/>
      <c r="F447" s="448"/>
      <c r="G447" s="448"/>
      <c r="H447" s="448"/>
      <c r="I447" s="448"/>
    </row>
    <row r="448" ht="15.75" customHeight="1">
      <c r="B448" s="448"/>
      <c r="C448" s="448"/>
      <c r="D448" s="448"/>
      <c r="E448" s="448"/>
      <c r="F448" s="448"/>
      <c r="G448" s="448"/>
      <c r="H448" s="448"/>
      <c r="I448" s="448"/>
    </row>
    <row r="449" ht="15.75" customHeight="1">
      <c r="B449" s="448"/>
      <c r="C449" s="448"/>
      <c r="D449" s="448"/>
      <c r="E449" s="448"/>
      <c r="F449" s="448"/>
      <c r="G449" s="448"/>
      <c r="H449" s="448"/>
      <c r="I449" s="448"/>
    </row>
    <row r="450" ht="15.75" customHeight="1">
      <c r="B450" s="448"/>
      <c r="C450" s="448"/>
      <c r="D450" s="448"/>
      <c r="E450" s="448"/>
      <c r="F450" s="448"/>
      <c r="G450" s="448"/>
      <c r="H450" s="448"/>
      <c r="I450" s="448"/>
    </row>
    <row r="451" ht="15.75" customHeight="1">
      <c r="B451" s="448"/>
      <c r="C451" s="448"/>
      <c r="D451" s="448"/>
      <c r="E451" s="448"/>
      <c r="F451" s="448"/>
      <c r="G451" s="448"/>
      <c r="H451" s="448"/>
      <c r="I451" s="448"/>
    </row>
    <row r="452" ht="15.75" customHeight="1">
      <c r="B452" s="448"/>
      <c r="C452" s="448"/>
      <c r="D452" s="448"/>
      <c r="E452" s="448"/>
      <c r="F452" s="448"/>
      <c r="G452" s="448"/>
      <c r="H452" s="448"/>
      <c r="I452" s="448"/>
    </row>
    <row r="453" ht="15.75" customHeight="1">
      <c r="B453" s="448"/>
      <c r="C453" s="448"/>
      <c r="D453" s="448"/>
      <c r="E453" s="448"/>
      <c r="F453" s="448"/>
      <c r="G453" s="448"/>
      <c r="H453" s="448"/>
      <c r="I453" s="448"/>
    </row>
    <row r="454" ht="15.75" customHeight="1">
      <c r="B454" s="448"/>
      <c r="C454" s="448"/>
      <c r="D454" s="448"/>
      <c r="E454" s="448"/>
      <c r="F454" s="448"/>
      <c r="G454" s="448"/>
      <c r="H454" s="448"/>
      <c r="I454" s="448"/>
    </row>
    <row r="455" ht="15.75" customHeight="1">
      <c r="B455" s="448"/>
      <c r="C455" s="448"/>
      <c r="D455" s="448"/>
      <c r="E455" s="448"/>
      <c r="F455" s="448"/>
      <c r="G455" s="448"/>
      <c r="H455" s="448"/>
      <c r="I455" s="448"/>
    </row>
    <row r="456" ht="15.75" customHeight="1">
      <c r="B456" s="448"/>
      <c r="C456" s="448"/>
      <c r="D456" s="448"/>
      <c r="E456" s="448"/>
      <c r="F456" s="448"/>
      <c r="G456" s="448"/>
      <c r="H456" s="448"/>
      <c r="I456" s="448"/>
    </row>
    <row r="457" ht="15.75" customHeight="1">
      <c r="B457" s="448"/>
      <c r="C457" s="448"/>
      <c r="D457" s="448"/>
      <c r="E457" s="448"/>
      <c r="F457" s="448"/>
      <c r="G457" s="448"/>
      <c r="H457" s="448"/>
      <c r="I457" s="448"/>
    </row>
    <row r="458" ht="15.75" customHeight="1">
      <c r="B458" s="448"/>
      <c r="C458" s="448"/>
      <c r="D458" s="448"/>
      <c r="E458" s="448"/>
      <c r="F458" s="448"/>
      <c r="G458" s="448"/>
      <c r="H458" s="448"/>
      <c r="I458" s="448"/>
    </row>
    <row r="459" ht="15.75" customHeight="1">
      <c r="B459" s="448"/>
      <c r="C459" s="448"/>
      <c r="D459" s="448"/>
      <c r="E459" s="448"/>
      <c r="F459" s="448"/>
      <c r="G459" s="448"/>
      <c r="H459" s="448"/>
      <c r="I459" s="448"/>
    </row>
    <row r="460" ht="15.75" customHeight="1">
      <c r="B460" s="448"/>
      <c r="C460" s="448"/>
      <c r="D460" s="448"/>
      <c r="E460" s="448"/>
      <c r="F460" s="448"/>
      <c r="G460" s="448"/>
      <c r="H460" s="448"/>
      <c r="I460" s="448"/>
    </row>
    <row r="461" ht="15.75" customHeight="1">
      <c r="B461" s="448"/>
      <c r="C461" s="448"/>
      <c r="D461" s="448"/>
      <c r="E461" s="448"/>
      <c r="F461" s="448"/>
      <c r="G461" s="448"/>
      <c r="H461" s="448"/>
      <c r="I461" s="448"/>
    </row>
    <row r="462" ht="15.75" customHeight="1">
      <c r="B462" s="448"/>
      <c r="C462" s="448"/>
      <c r="D462" s="448"/>
      <c r="E462" s="448"/>
      <c r="F462" s="448"/>
      <c r="G462" s="448"/>
      <c r="H462" s="448"/>
      <c r="I462" s="448"/>
    </row>
    <row r="463" ht="15.75" customHeight="1">
      <c r="B463" s="448"/>
      <c r="C463" s="448"/>
      <c r="D463" s="448"/>
      <c r="E463" s="448"/>
      <c r="F463" s="448"/>
      <c r="G463" s="448"/>
      <c r="H463" s="448"/>
      <c r="I463" s="448"/>
    </row>
    <row r="464" ht="15.75" customHeight="1">
      <c r="B464" s="448"/>
      <c r="C464" s="448"/>
      <c r="D464" s="448"/>
      <c r="E464" s="448"/>
      <c r="F464" s="448"/>
      <c r="G464" s="448"/>
      <c r="H464" s="448"/>
      <c r="I464" s="448"/>
    </row>
    <row r="465" ht="15.75" customHeight="1">
      <c r="B465" s="448"/>
      <c r="C465" s="448"/>
      <c r="D465" s="448"/>
      <c r="E465" s="448"/>
      <c r="F465" s="448"/>
      <c r="G465" s="448"/>
      <c r="H465" s="448"/>
      <c r="I465" s="448"/>
    </row>
    <row r="466" ht="15.75" customHeight="1">
      <c r="B466" s="448"/>
      <c r="C466" s="448"/>
      <c r="D466" s="448"/>
      <c r="E466" s="448"/>
      <c r="F466" s="448"/>
      <c r="G466" s="448"/>
      <c r="H466" s="448"/>
      <c r="I466" s="448"/>
    </row>
    <row r="467" ht="15.75" customHeight="1">
      <c r="B467" s="448"/>
      <c r="C467" s="448"/>
      <c r="D467" s="448"/>
      <c r="E467" s="448"/>
      <c r="F467" s="448"/>
      <c r="G467" s="448"/>
      <c r="H467" s="448"/>
      <c r="I467" s="448"/>
    </row>
    <row r="468" ht="15.75" customHeight="1">
      <c r="B468" s="448"/>
      <c r="C468" s="448"/>
      <c r="D468" s="448"/>
      <c r="E468" s="448"/>
      <c r="F468" s="448"/>
      <c r="G468" s="448"/>
      <c r="H468" s="448"/>
      <c r="I468" s="448"/>
    </row>
    <row r="469" ht="15.75" customHeight="1">
      <c r="B469" s="448"/>
      <c r="C469" s="448"/>
      <c r="D469" s="448"/>
      <c r="E469" s="448"/>
      <c r="F469" s="448"/>
      <c r="G469" s="448"/>
      <c r="H469" s="448"/>
      <c r="I469" s="448"/>
    </row>
    <row r="470" ht="15.75" customHeight="1">
      <c r="B470" s="448"/>
      <c r="C470" s="448"/>
      <c r="D470" s="448"/>
      <c r="E470" s="448"/>
      <c r="F470" s="448"/>
      <c r="G470" s="448"/>
      <c r="H470" s="448"/>
      <c r="I470" s="448"/>
    </row>
    <row r="471" ht="15.75" customHeight="1">
      <c r="B471" s="448"/>
      <c r="C471" s="448"/>
      <c r="D471" s="448"/>
      <c r="E471" s="448"/>
      <c r="F471" s="448"/>
      <c r="G471" s="448"/>
      <c r="H471" s="448"/>
      <c r="I471" s="448"/>
    </row>
    <row r="472" ht="15.75" customHeight="1">
      <c r="B472" s="448"/>
      <c r="C472" s="448"/>
      <c r="D472" s="448"/>
      <c r="E472" s="448"/>
      <c r="F472" s="448"/>
      <c r="G472" s="448"/>
      <c r="H472" s="448"/>
      <c r="I472" s="448"/>
    </row>
    <row r="473" ht="15.75" customHeight="1">
      <c r="B473" s="448"/>
      <c r="C473" s="448"/>
      <c r="D473" s="448"/>
      <c r="E473" s="448"/>
      <c r="F473" s="448"/>
      <c r="G473" s="448"/>
      <c r="H473" s="448"/>
      <c r="I473" s="448"/>
    </row>
    <row r="474" ht="15.75" customHeight="1">
      <c r="B474" s="448"/>
      <c r="C474" s="448"/>
      <c r="D474" s="448"/>
      <c r="E474" s="448"/>
      <c r="F474" s="448"/>
      <c r="G474" s="448"/>
      <c r="H474" s="448"/>
      <c r="I474" s="448"/>
    </row>
    <row r="475" ht="15.75" customHeight="1">
      <c r="B475" s="448"/>
      <c r="C475" s="448"/>
      <c r="D475" s="448"/>
      <c r="E475" s="448"/>
      <c r="F475" s="448"/>
      <c r="G475" s="448"/>
      <c r="H475" s="448"/>
      <c r="I475" s="448"/>
    </row>
    <row r="476" ht="15.75" customHeight="1">
      <c r="B476" s="448"/>
      <c r="C476" s="448"/>
      <c r="D476" s="448"/>
      <c r="E476" s="448"/>
      <c r="F476" s="448"/>
      <c r="G476" s="448"/>
      <c r="H476" s="448"/>
      <c r="I476" s="448"/>
    </row>
    <row r="477" ht="15.75" customHeight="1">
      <c r="B477" s="448"/>
      <c r="C477" s="448"/>
      <c r="D477" s="448"/>
      <c r="E477" s="448"/>
      <c r="F477" s="448"/>
      <c r="G477" s="448"/>
      <c r="H477" s="448"/>
      <c r="I477" s="448"/>
    </row>
    <row r="478" ht="15.75" customHeight="1">
      <c r="B478" s="448"/>
      <c r="C478" s="448"/>
      <c r="D478" s="448"/>
      <c r="E478" s="448"/>
      <c r="F478" s="448"/>
      <c r="G478" s="448"/>
      <c r="H478" s="448"/>
      <c r="I478" s="448"/>
    </row>
    <row r="479" ht="15.75" customHeight="1">
      <c r="B479" s="448"/>
      <c r="C479" s="448"/>
      <c r="D479" s="448"/>
      <c r="E479" s="448"/>
      <c r="F479" s="448"/>
      <c r="G479" s="448"/>
      <c r="H479" s="448"/>
      <c r="I479" s="448"/>
    </row>
    <row r="480" ht="15.75" customHeight="1">
      <c r="B480" s="448"/>
      <c r="C480" s="448"/>
      <c r="D480" s="448"/>
      <c r="E480" s="448"/>
      <c r="F480" s="448"/>
      <c r="G480" s="448"/>
      <c r="H480" s="448"/>
      <c r="I480" s="448"/>
    </row>
    <row r="481" ht="15.75" customHeight="1">
      <c r="B481" s="448"/>
      <c r="C481" s="448"/>
      <c r="D481" s="448"/>
      <c r="E481" s="448"/>
      <c r="F481" s="448"/>
      <c r="G481" s="448"/>
      <c r="H481" s="448"/>
      <c r="I481" s="448"/>
    </row>
    <row r="482" ht="15.75" customHeight="1">
      <c r="B482" s="448"/>
      <c r="C482" s="448"/>
      <c r="D482" s="448"/>
      <c r="E482" s="448"/>
      <c r="F482" s="448"/>
      <c r="G482" s="448"/>
      <c r="H482" s="448"/>
      <c r="I482" s="448"/>
    </row>
    <row r="483" ht="15.75" customHeight="1">
      <c r="B483" s="448"/>
      <c r="C483" s="448"/>
      <c r="D483" s="448"/>
      <c r="E483" s="448"/>
      <c r="F483" s="448"/>
      <c r="G483" s="448"/>
      <c r="H483" s="448"/>
      <c r="I483" s="448"/>
    </row>
    <row r="484" ht="15.75" customHeight="1">
      <c r="B484" s="448"/>
      <c r="C484" s="448"/>
      <c r="D484" s="448"/>
      <c r="E484" s="448"/>
      <c r="F484" s="448"/>
      <c r="G484" s="448"/>
      <c r="H484" s="448"/>
      <c r="I484" s="448"/>
    </row>
    <row r="485" ht="15.75" customHeight="1">
      <c r="B485" s="448"/>
      <c r="C485" s="448"/>
      <c r="D485" s="448"/>
      <c r="E485" s="448"/>
      <c r="F485" s="448"/>
      <c r="G485" s="448"/>
      <c r="H485" s="448"/>
      <c r="I485" s="448"/>
    </row>
    <row r="486" ht="15.75" customHeight="1">
      <c r="B486" s="448"/>
      <c r="C486" s="448"/>
      <c r="D486" s="448"/>
      <c r="E486" s="448"/>
      <c r="F486" s="448"/>
      <c r="G486" s="448"/>
      <c r="H486" s="448"/>
      <c r="I486" s="448"/>
    </row>
    <row r="487" ht="15.75" customHeight="1">
      <c r="B487" s="448"/>
      <c r="C487" s="448"/>
      <c r="D487" s="448"/>
      <c r="E487" s="448"/>
      <c r="F487" s="448"/>
      <c r="G487" s="448"/>
      <c r="H487" s="448"/>
      <c r="I487" s="448"/>
    </row>
    <row r="488" ht="15.75" customHeight="1">
      <c r="B488" s="448"/>
      <c r="C488" s="448"/>
      <c r="D488" s="448"/>
      <c r="E488" s="448"/>
      <c r="F488" s="448"/>
      <c r="G488" s="448"/>
      <c r="H488" s="448"/>
      <c r="I488" s="448"/>
    </row>
    <row r="489" ht="15.75" customHeight="1">
      <c r="B489" s="448"/>
      <c r="C489" s="448"/>
      <c r="D489" s="448"/>
      <c r="E489" s="448"/>
      <c r="F489" s="448"/>
      <c r="G489" s="448"/>
      <c r="H489" s="448"/>
      <c r="I489" s="448"/>
    </row>
    <row r="490" ht="15.75" customHeight="1">
      <c r="B490" s="448"/>
      <c r="C490" s="448"/>
      <c r="D490" s="448"/>
      <c r="E490" s="448"/>
      <c r="F490" s="448"/>
      <c r="G490" s="448"/>
      <c r="H490" s="448"/>
      <c r="I490" s="448"/>
    </row>
    <row r="491" ht="15.75" customHeight="1">
      <c r="B491" s="448"/>
      <c r="C491" s="448"/>
      <c r="D491" s="448"/>
      <c r="E491" s="448"/>
      <c r="F491" s="448"/>
      <c r="G491" s="448"/>
      <c r="H491" s="448"/>
      <c r="I491" s="448"/>
    </row>
    <row r="492" ht="15.75" customHeight="1">
      <c r="B492" s="448"/>
      <c r="C492" s="448"/>
      <c r="D492" s="448"/>
      <c r="E492" s="448"/>
      <c r="F492" s="448"/>
      <c r="G492" s="448"/>
      <c r="H492" s="448"/>
      <c r="I492" s="448"/>
    </row>
    <row r="493" ht="15.75" customHeight="1">
      <c r="B493" s="448"/>
      <c r="C493" s="448"/>
      <c r="D493" s="448"/>
      <c r="E493" s="448"/>
      <c r="F493" s="448"/>
      <c r="G493" s="448"/>
      <c r="H493" s="448"/>
      <c r="I493" s="448"/>
    </row>
    <row r="494" ht="15.75" customHeight="1">
      <c r="B494" s="448"/>
      <c r="C494" s="448"/>
      <c r="D494" s="448"/>
      <c r="E494" s="448"/>
      <c r="F494" s="448"/>
      <c r="G494" s="448"/>
      <c r="H494" s="448"/>
      <c r="I494" s="448"/>
    </row>
    <row r="495" ht="15.75" customHeight="1">
      <c r="B495" s="448"/>
      <c r="C495" s="448"/>
      <c r="D495" s="448"/>
      <c r="E495" s="448"/>
      <c r="F495" s="448"/>
      <c r="G495" s="448"/>
      <c r="H495" s="448"/>
      <c r="I495" s="448"/>
    </row>
    <row r="496" ht="15.75" customHeight="1">
      <c r="B496" s="448"/>
      <c r="C496" s="448"/>
      <c r="D496" s="448"/>
      <c r="E496" s="448"/>
      <c r="F496" s="448"/>
      <c r="G496" s="448"/>
      <c r="H496" s="448"/>
      <c r="I496" s="448"/>
    </row>
    <row r="497" ht="15.75" customHeight="1">
      <c r="B497" s="448"/>
      <c r="C497" s="448"/>
      <c r="D497" s="448"/>
      <c r="E497" s="448"/>
      <c r="F497" s="448"/>
      <c r="G497" s="448"/>
      <c r="H497" s="448"/>
      <c r="I497" s="448"/>
    </row>
    <row r="498" ht="15.75" customHeight="1">
      <c r="B498" s="448"/>
      <c r="C498" s="448"/>
      <c r="D498" s="448"/>
      <c r="E498" s="448"/>
      <c r="F498" s="448"/>
      <c r="G498" s="448"/>
      <c r="H498" s="448"/>
      <c r="I498" s="448"/>
    </row>
    <row r="499" ht="15.75" customHeight="1">
      <c r="B499" s="448"/>
      <c r="C499" s="448"/>
      <c r="D499" s="448"/>
      <c r="E499" s="448"/>
      <c r="F499" s="448"/>
      <c r="G499" s="448"/>
      <c r="H499" s="448"/>
      <c r="I499" s="448"/>
    </row>
    <row r="500" ht="15.75" customHeight="1">
      <c r="B500" s="448"/>
      <c r="C500" s="448"/>
      <c r="D500" s="448"/>
      <c r="E500" s="448"/>
      <c r="F500" s="448"/>
      <c r="G500" s="448"/>
      <c r="H500" s="448"/>
      <c r="I500" s="448"/>
    </row>
    <row r="501" ht="15.75" customHeight="1">
      <c r="B501" s="448"/>
      <c r="C501" s="448"/>
      <c r="D501" s="448"/>
      <c r="E501" s="448"/>
      <c r="F501" s="448"/>
      <c r="G501" s="448"/>
      <c r="H501" s="448"/>
      <c r="I501" s="448"/>
    </row>
    <row r="502" ht="15.75" customHeight="1">
      <c r="B502" s="448"/>
      <c r="C502" s="448"/>
      <c r="D502" s="448"/>
      <c r="E502" s="448"/>
      <c r="F502" s="448"/>
      <c r="G502" s="448"/>
      <c r="H502" s="448"/>
      <c r="I502" s="448"/>
    </row>
    <row r="503" ht="15.75" customHeight="1">
      <c r="B503" s="448"/>
      <c r="C503" s="448"/>
      <c r="D503" s="448"/>
      <c r="E503" s="448"/>
      <c r="F503" s="448"/>
      <c r="G503" s="448"/>
      <c r="H503" s="448"/>
      <c r="I503" s="448"/>
    </row>
    <row r="504" ht="15.75" customHeight="1">
      <c r="B504" s="448"/>
      <c r="C504" s="448"/>
      <c r="D504" s="448"/>
      <c r="E504" s="448"/>
      <c r="F504" s="448"/>
      <c r="G504" s="448"/>
      <c r="H504" s="448"/>
      <c r="I504" s="448"/>
    </row>
    <row r="505" ht="15.75" customHeight="1">
      <c r="B505" s="448"/>
      <c r="C505" s="448"/>
      <c r="D505" s="448"/>
      <c r="E505" s="448"/>
      <c r="F505" s="448"/>
      <c r="G505" s="448"/>
      <c r="H505" s="448"/>
      <c r="I505" s="448"/>
    </row>
    <row r="506" ht="15.75" customHeight="1">
      <c r="B506" s="448"/>
      <c r="C506" s="448"/>
      <c r="D506" s="448"/>
      <c r="E506" s="448"/>
      <c r="F506" s="448"/>
      <c r="G506" s="448"/>
      <c r="H506" s="448"/>
      <c r="I506" s="448"/>
    </row>
    <row r="507" ht="15.75" customHeight="1">
      <c r="B507" s="448"/>
      <c r="C507" s="448"/>
      <c r="D507" s="448"/>
      <c r="E507" s="448"/>
      <c r="F507" s="448"/>
      <c r="G507" s="448"/>
      <c r="H507" s="448"/>
      <c r="I507" s="448"/>
    </row>
    <row r="508" ht="15.75" customHeight="1">
      <c r="B508" s="448"/>
      <c r="C508" s="448"/>
      <c r="D508" s="448"/>
      <c r="E508" s="448"/>
      <c r="F508" s="448"/>
      <c r="G508" s="448"/>
      <c r="H508" s="448"/>
      <c r="I508" s="448"/>
    </row>
    <row r="509" ht="15.75" customHeight="1">
      <c r="B509" s="448"/>
      <c r="C509" s="448"/>
      <c r="D509" s="448"/>
      <c r="E509" s="448"/>
      <c r="F509" s="448"/>
      <c r="G509" s="448"/>
      <c r="H509" s="448"/>
      <c r="I509" s="448"/>
    </row>
    <row r="510" ht="15.75" customHeight="1">
      <c r="B510" s="448"/>
      <c r="C510" s="448"/>
      <c r="D510" s="448"/>
      <c r="E510" s="448"/>
      <c r="F510" s="448"/>
      <c r="G510" s="448"/>
      <c r="H510" s="448"/>
      <c r="I510" s="448"/>
    </row>
    <row r="511" ht="15.75" customHeight="1">
      <c r="B511" s="448"/>
      <c r="C511" s="448"/>
      <c r="D511" s="448"/>
      <c r="E511" s="448"/>
      <c r="F511" s="448"/>
      <c r="G511" s="448"/>
      <c r="H511" s="448"/>
      <c r="I511" s="448"/>
    </row>
    <row r="512" ht="15.75" customHeight="1">
      <c r="B512" s="448"/>
      <c r="C512" s="448"/>
      <c r="D512" s="448"/>
      <c r="E512" s="448"/>
      <c r="F512" s="448"/>
      <c r="G512" s="448"/>
      <c r="H512" s="448"/>
      <c r="I512" s="448"/>
    </row>
    <row r="513" ht="15.75" customHeight="1">
      <c r="B513" s="448"/>
      <c r="C513" s="448"/>
      <c r="D513" s="448"/>
      <c r="E513" s="448"/>
      <c r="F513" s="448"/>
      <c r="G513" s="448"/>
      <c r="H513" s="448"/>
      <c r="I513" s="448"/>
    </row>
    <row r="514" ht="15.75" customHeight="1">
      <c r="B514" s="448"/>
      <c r="C514" s="448"/>
      <c r="D514" s="448"/>
      <c r="E514" s="448"/>
      <c r="F514" s="448"/>
      <c r="G514" s="448"/>
      <c r="H514" s="448"/>
      <c r="I514" s="448"/>
    </row>
    <row r="515" ht="15.75" customHeight="1">
      <c r="B515" s="448"/>
      <c r="C515" s="448"/>
      <c r="D515" s="448"/>
      <c r="E515" s="448"/>
      <c r="F515" s="448"/>
      <c r="G515" s="448"/>
      <c r="H515" s="448"/>
      <c r="I515" s="448"/>
    </row>
    <row r="516" ht="15.75" customHeight="1">
      <c r="B516" s="448"/>
      <c r="C516" s="448"/>
      <c r="D516" s="448"/>
      <c r="E516" s="448"/>
      <c r="F516" s="448"/>
      <c r="G516" s="448"/>
      <c r="H516" s="448"/>
      <c r="I516" s="448"/>
    </row>
    <row r="517" ht="15.75" customHeight="1">
      <c r="B517" s="448"/>
      <c r="C517" s="448"/>
      <c r="D517" s="448"/>
      <c r="E517" s="448"/>
      <c r="F517" s="448"/>
      <c r="G517" s="448"/>
      <c r="H517" s="448"/>
      <c r="I517" s="448"/>
    </row>
    <row r="518" ht="15.75" customHeight="1">
      <c r="B518" s="448"/>
      <c r="C518" s="448"/>
      <c r="D518" s="448"/>
      <c r="E518" s="448"/>
      <c r="F518" s="448"/>
      <c r="G518" s="448"/>
      <c r="H518" s="448"/>
      <c r="I518" s="448"/>
    </row>
    <row r="519" ht="15.75" customHeight="1">
      <c r="B519" s="448"/>
      <c r="C519" s="448"/>
      <c r="D519" s="448"/>
      <c r="E519" s="448"/>
      <c r="F519" s="448"/>
      <c r="G519" s="448"/>
      <c r="H519" s="448"/>
      <c r="I519" s="448"/>
    </row>
    <row r="520" ht="15.75" customHeight="1">
      <c r="B520" s="448"/>
      <c r="C520" s="448"/>
      <c r="D520" s="448"/>
      <c r="E520" s="448"/>
      <c r="F520" s="448"/>
      <c r="G520" s="448"/>
      <c r="H520" s="448"/>
      <c r="I520" s="448"/>
    </row>
    <row r="521" ht="15.75" customHeight="1">
      <c r="B521" s="448"/>
      <c r="C521" s="448"/>
      <c r="D521" s="448"/>
      <c r="E521" s="448"/>
      <c r="F521" s="448"/>
      <c r="G521" s="448"/>
      <c r="H521" s="448"/>
      <c r="I521" s="448"/>
    </row>
    <row r="522" ht="15.75" customHeight="1">
      <c r="B522" s="448"/>
      <c r="C522" s="448"/>
      <c r="D522" s="448"/>
      <c r="E522" s="448"/>
      <c r="F522" s="448"/>
      <c r="G522" s="448"/>
      <c r="H522" s="448"/>
      <c r="I522" s="448"/>
    </row>
    <row r="523" ht="15.75" customHeight="1">
      <c r="B523" s="448"/>
      <c r="C523" s="448"/>
      <c r="D523" s="448"/>
      <c r="E523" s="448"/>
      <c r="F523" s="448"/>
      <c r="G523" s="448"/>
      <c r="H523" s="448"/>
      <c r="I523" s="448"/>
    </row>
    <row r="524" ht="15.75" customHeight="1">
      <c r="B524" s="448"/>
      <c r="C524" s="448"/>
      <c r="D524" s="448"/>
      <c r="E524" s="448"/>
      <c r="F524" s="448"/>
      <c r="G524" s="448"/>
      <c r="H524" s="448"/>
      <c r="I524" s="448"/>
    </row>
    <row r="525" ht="15.75" customHeight="1">
      <c r="B525" s="448"/>
      <c r="C525" s="448"/>
      <c r="D525" s="448"/>
      <c r="E525" s="448"/>
      <c r="F525" s="448"/>
      <c r="G525" s="448"/>
      <c r="H525" s="448"/>
      <c r="I525" s="448"/>
    </row>
    <row r="526" ht="15.75" customHeight="1">
      <c r="B526" s="448"/>
      <c r="C526" s="448"/>
      <c r="D526" s="448"/>
      <c r="E526" s="448"/>
      <c r="F526" s="448"/>
      <c r="G526" s="448"/>
      <c r="H526" s="448"/>
      <c r="I526" s="448"/>
    </row>
    <row r="527" ht="15.75" customHeight="1">
      <c r="B527" s="448"/>
      <c r="C527" s="448"/>
      <c r="D527" s="448"/>
      <c r="E527" s="448"/>
      <c r="F527" s="448"/>
      <c r="G527" s="448"/>
      <c r="H527" s="448"/>
      <c r="I527" s="448"/>
    </row>
    <row r="528" ht="15.75" customHeight="1">
      <c r="B528" s="448"/>
      <c r="C528" s="448"/>
      <c r="D528" s="448"/>
      <c r="E528" s="448"/>
      <c r="F528" s="448"/>
      <c r="G528" s="448"/>
      <c r="H528" s="448"/>
      <c r="I528" s="448"/>
    </row>
    <row r="529" ht="15.75" customHeight="1">
      <c r="B529" s="448"/>
      <c r="C529" s="448"/>
      <c r="D529" s="448"/>
      <c r="E529" s="448"/>
      <c r="F529" s="448"/>
      <c r="G529" s="448"/>
      <c r="H529" s="448"/>
      <c r="I529" s="448"/>
    </row>
    <row r="530" ht="15.75" customHeight="1">
      <c r="B530" s="448"/>
      <c r="C530" s="448"/>
      <c r="D530" s="448"/>
      <c r="E530" s="448"/>
      <c r="F530" s="448"/>
      <c r="G530" s="448"/>
      <c r="H530" s="448"/>
      <c r="I530" s="448"/>
    </row>
    <row r="531" ht="15.75" customHeight="1">
      <c r="B531" s="448"/>
      <c r="C531" s="448"/>
      <c r="D531" s="448"/>
      <c r="E531" s="448"/>
      <c r="F531" s="448"/>
      <c r="G531" s="448"/>
      <c r="H531" s="448"/>
      <c r="I531" s="448"/>
    </row>
    <row r="532" ht="15.75" customHeight="1">
      <c r="B532" s="448"/>
      <c r="C532" s="448"/>
      <c r="D532" s="448"/>
      <c r="E532" s="448"/>
      <c r="F532" s="448"/>
      <c r="G532" s="448"/>
      <c r="H532" s="448"/>
      <c r="I532" s="448"/>
    </row>
    <row r="533" ht="15.75" customHeight="1">
      <c r="B533" s="448"/>
      <c r="C533" s="448"/>
      <c r="D533" s="448"/>
      <c r="E533" s="448"/>
      <c r="F533" s="448"/>
      <c r="G533" s="448"/>
      <c r="H533" s="448"/>
      <c r="I533" s="448"/>
    </row>
    <row r="534" ht="15.75" customHeight="1">
      <c r="B534" s="448"/>
      <c r="C534" s="448"/>
      <c r="D534" s="448"/>
      <c r="E534" s="448"/>
      <c r="F534" s="448"/>
      <c r="G534" s="448"/>
      <c r="H534" s="448"/>
      <c r="I534" s="448"/>
    </row>
    <row r="535" ht="15.75" customHeight="1">
      <c r="B535" s="448"/>
      <c r="C535" s="448"/>
      <c r="D535" s="448"/>
      <c r="E535" s="448"/>
      <c r="F535" s="448"/>
      <c r="G535" s="448"/>
      <c r="H535" s="448"/>
      <c r="I535" s="448"/>
    </row>
    <row r="536" ht="15.75" customHeight="1">
      <c r="B536" s="448"/>
      <c r="C536" s="448"/>
      <c r="D536" s="448"/>
      <c r="E536" s="448"/>
      <c r="F536" s="448"/>
      <c r="G536" s="448"/>
      <c r="H536" s="448"/>
      <c r="I536" s="448"/>
    </row>
    <row r="537" ht="15.75" customHeight="1">
      <c r="B537" s="448"/>
      <c r="C537" s="448"/>
      <c r="D537" s="448"/>
      <c r="E537" s="448"/>
      <c r="F537" s="448"/>
      <c r="G537" s="448"/>
      <c r="H537" s="448"/>
      <c r="I537" s="448"/>
    </row>
    <row r="538" ht="15.75" customHeight="1">
      <c r="B538" s="448"/>
      <c r="C538" s="448"/>
      <c r="D538" s="448"/>
      <c r="E538" s="448"/>
      <c r="F538" s="448"/>
      <c r="G538" s="448"/>
      <c r="H538" s="448"/>
      <c r="I538" s="448"/>
    </row>
    <row r="539" ht="15.75" customHeight="1">
      <c r="B539" s="448"/>
      <c r="C539" s="448"/>
      <c r="D539" s="448"/>
      <c r="E539" s="448"/>
      <c r="F539" s="448"/>
      <c r="G539" s="448"/>
      <c r="H539" s="448"/>
      <c r="I539" s="448"/>
    </row>
    <row r="540" ht="15.75" customHeight="1">
      <c r="B540" s="448"/>
      <c r="C540" s="448"/>
      <c r="D540" s="448"/>
      <c r="E540" s="448"/>
      <c r="F540" s="448"/>
      <c r="G540" s="448"/>
      <c r="H540" s="448"/>
      <c r="I540" s="448"/>
    </row>
    <row r="541" ht="15.75" customHeight="1">
      <c r="B541" s="448"/>
      <c r="C541" s="448"/>
      <c r="D541" s="448"/>
      <c r="E541" s="448"/>
      <c r="F541" s="448"/>
      <c r="G541" s="448"/>
      <c r="H541" s="448"/>
      <c r="I541" s="448"/>
    </row>
    <row r="542" ht="15.75" customHeight="1">
      <c r="B542" s="448"/>
      <c r="C542" s="448"/>
      <c r="D542" s="448"/>
      <c r="E542" s="448"/>
      <c r="F542" s="448"/>
      <c r="G542" s="448"/>
      <c r="H542" s="448"/>
      <c r="I542" s="448"/>
    </row>
    <row r="543" ht="15.75" customHeight="1">
      <c r="B543" s="448"/>
      <c r="C543" s="448"/>
      <c r="D543" s="448"/>
      <c r="E543" s="448"/>
      <c r="F543" s="448"/>
      <c r="G543" s="448"/>
      <c r="H543" s="448"/>
      <c r="I543" s="448"/>
    </row>
    <row r="544" ht="15.75" customHeight="1">
      <c r="B544" s="448"/>
      <c r="C544" s="448"/>
      <c r="D544" s="448"/>
      <c r="E544" s="448"/>
      <c r="F544" s="448"/>
      <c r="G544" s="448"/>
      <c r="H544" s="448"/>
      <c r="I544" s="448"/>
    </row>
    <row r="545" ht="15.75" customHeight="1">
      <c r="B545" s="448"/>
      <c r="C545" s="448"/>
      <c r="D545" s="448"/>
      <c r="E545" s="448"/>
      <c r="F545" s="448"/>
      <c r="G545" s="448"/>
      <c r="H545" s="448"/>
      <c r="I545" s="448"/>
    </row>
    <row r="546" ht="15.75" customHeight="1">
      <c r="B546" s="448"/>
      <c r="C546" s="448"/>
      <c r="D546" s="448"/>
      <c r="E546" s="448"/>
      <c r="F546" s="448"/>
      <c r="G546" s="448"/>
      <c r="H546" s="448"/>
      <c r="I546" s="448"/>
    </row>
    <row r="547" ht="15.75" customHeight="1">
      <c r="B547" s="448"/>
      <c r="C547" s="448"/>
      <c r="D547" s="448"/>
      <c r="E547" s="448"/>
      <c r="F547" s="448"/>
      <c r="G547" s="448"/>
      <c r="H547" s="448"/>
      <c r="I547" s="448"/>
    </row>
    <row r="548" ht="15.75" customHeight="1">
      <c r="B548" s="448"/>
      <c r="C548" s="448"/>
      <c r="D548" s="448"/>
      <c r="E548" s="448"/>
      <c r="F548" s="448"/>
      <c r="G548" s="448"/>
      <c r="H548" s="448"/>
      <c r="I548" s="448"/>
    </row>
    <row r="549" ht="15.75" customHeight="1">
      <c r="B549" s="448"/>
      <c r="C549" s="448"/>
      <c r="D549" s="448"/>
      <c r="E549" s="448"/>
      <c r="F549" s="448"/>
      <c r="G549" s="448"/>
      <c r="H549" s="448"/>
      <c r="I549" s="448"/>
    </row>
    <row r="550" ht="15.75" customHeight="1">
      <c r="B550" s="448"/>
      <c r="C550" s="448"/>
      <c r="D550" s="448"/>
      <c r="E550" s="448"/>
      <c r="F550" s="448"/>
      <c r="G550" s="448"/>
      <c r="H550" s="448"/>
      <c r="I550" s="448"/>
    </row>
    <row r="551" ht="15.75" customHeight="1">
      <c r="B551" s="448"/>
      <c r="C551" s="448"/>
      <c r="D551" s="448"/>
      <c r="E551" s="448"/>
      <c r="F551" s="448"/>
      <c r="G551" s="448"/>
      <c r="H551" s="448"/>
      <c r="I551" s="448"/>
    </row>
    <row r="552" ht="15.75" customHeight="1">
      <c r="B552" s="448"/>
      <c r="C552" s="448"/>
      <c r="D552" s="448"/>
      <c r="E552" s="448"/>
      <c r="F552" s="448"/>
      <c r="G552" s="448"/>
      <c r="H552" s="448"/>
      <c r="I552" s="448"/>
    </row>
    <row r="553" ht="15.75" customHeight="1">
      <c r="B553" s="448"/>
      <c r="C553" s="448"/>
      <c r="D553" s="448"/>
      <c r="E553" s="448"/>
      <c r="F553" s="448"/>
      <c r="G553" s="448"/>
      <c r="H553" s="448"/>
      <c r="I553" s="448"/>
    </row>
    <row r="554" ht="15.75" customHeight="1">
      <c r="B554" s="448"/>
      <c r="C554" s="448"/>
      <c r="D554" s="448"/>
      <c r="E554" s="448"/>
      <c r="F554" s="448"/>
      <c r="G554" s="448"/>
      <c r="H554" s="448"/>
      <c r="I554" s="448"/>
    </row>
    <row r="555" ht="15.75" customHeight="1">
      <c r="B555" s="448"/>
      <c r="C555" s="448"/>
      <c r="D555" s="448"/>
      <c r="E555" s="448"/>
      <c r="F555" s="448"/>
      <c r="G555" s="448"/>
      <c r="H555" s="448"/>
      <c r="I555" s="448"/>
    </row>
    <row r="556" ht="15.75" customHeight="1">
      <c r="B556" s="448"/>
      <c r="C556" s="448"/>
      <c r="D556" s="448"/>
      <c r="E556" s="448"/>
      <c r="F556" s="448"/>
      <c r="G556" s="448"/>
      <c r="H556" s="448"/>
      <c r="I556" s="448"/>
    </row>
    <row r="557" ht="15.75" customHeight="1">
      <c r="B557" s="448"/>
      <c r="C557" s="448"/>
      <c r="D557" s="448"/>
      <c r="E557" s="448"/>
      <c r="F557" s="448"/>
      <c r="G557" s="448"/>
      <c r="H557" s="448"/>
      <c r="I557" s="448"/>
    </row>
    <row r="558" ht="15.75" customHeight="1">
      <c r="B558" s="448"/>
      <c r="C558" s="448"/>
      <c r="D558" s="448"/>
      <c r="E558" s="448"/>
      <c r="F558" s="448"/>
      <c r="G558" s="448"/>
      <c r="H558" s="448"/>
      <c r="I558" s="448"/>
    </row>
    <row r="559" ht="15.75" customHeight="1">
      <c r="B559" s="448"/>
      <c r="C559" s="448"/>
      <c r="D559" s="448"/>
      <c r="E559" s="448"/>
      <c r="F559" s="448"/>
      <c r="G559" s="448"/>
      <c r="H559" s="448"/>
      <c r="I559" s="448"/>
    </row>
    <row r="560" ht="15.75" customHeight="1">
      <c r="B560" s="448"/>
      <c r="C560" s="448"/>
      <c r="D560" s="448"/>
      <c r="E560" s="448"/>
      <c r="F560" s="448"/>
      <c r="G560" s="448"/>
      <c r="H560" s="448"/>
      <c r="I560" s="448"/>
    </row>
    <row r="561" ht="15.75" customHeight="1">
      <c r="B561" s="448"/>
      <c r="C561" s="448"/>
      <c r="D561" s="448"/>
      <c r="E561" s="448"/>
      <c r="F561" s="448"/>
      <c r="G561" s="448"/>
      <c r="H561" s="448"/>
      <c r="I561" s="448"/>
    </row>
    <row r="562" ht="15.75" customHeight="1">
      <c r="B562" s="448"/>
      <c r="C562" s="448"/>
      <c r="D562" s="448"/>
      <c r="E562" s="448"/>
      <c r="F562" s="448"/>
      <c r="G562" s="448"/>
      <c r="H562" s="448"/>
      <c r="I562" s="448"/>
    </row>
    <row r="563" ht="15.75" customHeight="1">
      <c r="B563" s="448"/>
      <c r="C563" s="448"/>
      <c r="D563" s="448"/>
      <c r="E563" s="448"/>
      <c r="F563" s="448"/>
      <c r="G563" s="448"/>
      <c r="H563" s="448"/>
      <c r="I563" s="448"/>
    </row>
    <row r="564" ht="15.75" customHeight="1">
      <c r="B564" s="448"/>
      <c r="C564" s="448"/>
      <c r="D564" s="448"/>
      <c r="E564" s="448"/>
      <c r="F564" s="448"/>
      <c r="G564" s="448"/>
      <c r="H564" s="448"/>
      <c r="I564" s="448"/>
    </row>
    <row r="565" ht="15.75" customHeight="1">
      <c r="B565" s="448"/>
      <c r="C565" s="448"/>
      <c r="D565" s="448"/>
      <c r="E565" s="448"/>
      <c r="F565" s="448"/>
      <c r="G565" s="448"/>
      <c r="H565" s="448"/>
      <c r="I565" s="448"/>
    </row>
    <row r="566" ht="15.75" customHeight="1">
      <c r="B566" s="448"/>
      <c r="C566" s="448"/>
      <c r="D566" s="448"/>
      <c r="E566" s="448"/>
      <c r="F566" s="448"/>
      <c r="G566" s="448"/>
      <c r="H566" s="448"/>
      <c r="I566" s="448"/>
    </row>
    <row r="567" ht="15.75" customHeight="1">
      <c r="B567" s="448"/>
      <c r="C567" s="448"/>
      <c r="D567" s="448"/>
      <c r="E567" s="448"/>
      <c r="F567" s="448"/>
      <c r="G567" s="448"/>
      <c r="H567" s="448"/>
      <c r="I567" s="448"/>
    </row>
    <row r="568" ht="15.75" customHeight="1">
      <c r="B568" s="448"/>
      <c r="C568" s="448"/>
      <c r="D568" s="448"/>
      <c r="E568" s="448"/>
      <c r="F568" s="448"/>
      <c r="G568" s="448"/>
      <c r="H568" s="448"/>
      <c r="I568" s="448"/>
    </row>
    <row r="569" ht="15.75" customHeight="1">
      <c r="B569" s="448"/>
      <c r="C569" s="448"/>
      <c r="D569" s="448"/>
      <c r="E569" s="448"/>
      <c r="F569" s="448"/>
      <c r="G569" s="448"/>
      <c r="H569" s="448"/>
      <c r="I569" s="448"/>
    </row>
    <row r="570" ht="15.75" customHeight="1">
      <c r="B570" s="448"/>
      <c r="C570" s="448"/>
      <c r="D570" s="448"/>
      <c r="E570" s="448"/>
      <c r="F570" s="448"/>
      <c r="G570" s="448"/>
      <c r="H570" s="448"/>
      <c r="I570" s="448"/>
    </row>
    <row r="571" ht="15.75" customHeight="1">
      <c r="B571" s="448"/>
      <c r="C571" s="448"/>
      <c r="D571" s="448"/>
      <c r="E571" s="448"/>
      <c r="F571" s="448"/>
      <c r="G571" s="448"/>
      <c r="H571" s="448"/>
      <c r="I571" s="448"/>
    </row>
    <row r="572" ht="15.75" customHeight="1">
      <c r="B572" s="448"/>
      <c r="C572" s="448"/>
      <c r="D572" s="448"/>
      <c r="E572" s="448"/>
      <c r="F572" s="448"/>
      <c r="G572" s="448"/>
      <c r="H572" s="448"/>
      <c r="I572" s="448"/>
    </row>
    <row r="573" ht="15.75" customHeight="1">
      <c r="B573" s="448"/>
      <c r="C573" s="448"/>
      <c r="D573" s="448"/>
      <c r="E573" s="448"/>
      <c r="F573" s="448"/>
      <c r="G573" s="448"/>
      <c r="H573" s="448"/>
      <c r="I573" s="448"/>
    </row>
    <row r="574" ht="15.75" customHeight="1">
      <c r="B574" s="448"/>
      <c r="C574" s="448"/>
      <c r="D574" s="448"/>
      <c r="E574" s="448"/>
      <c r="F574" s="448"/>
      <c r="G574" s="448"/>
      <c r="H574" s="448"/>
      <c r="I574" s="448"/>
    </row>
    <row r="575" ht="15.75" customHeight="1">
      <c r="B575" s="448"/>
      <c r="C575" s="448"/>
      <c r="D575" s="448"/>
      <c r="E575" s="448"/>
      <c r="F575" s="448"/>
      <c r="G575" s="448"/>
      <c r="H575" s="448"/>
      <c r="I575" s="448"/>
    </row>
    <row r="576" ht="15.75" customHeight="1">
      <c r="B576" s="448"/>
      <c r="C576" s="448"/>
      <c r="D576" s="448"/>
      <c r="E576" s="448"/>
      <c r="F576" s="448"/>
      <c r="G576" s="448"/>
      <c r="H576" s="448"/>
      <c r="I576" s="448"/>
    </row>
    <row r="577" ht="15.75" customHeight="1">
      <c r="B577" s="448"/>
      <c r="C577" s="448"/>
      <c r="D577" s="448"/>
      <c r="E577" s="448"/>
      <c r="F577" s="448"/>
      <c r="G577" s="448"/>
      <c r="H577" s="448"/>
      <c r="I577" s="448"/>
    </row>
    <row r="578" ht="15.75" customHeight="1">
      <c r="B578" s="448"/>
      <c r="C578" s="448"/>
      <c r="D578" s="448"/>
      <c r="E578" s="448"/>
      <c r="F578" s="448"/>
      <c r="G578" s="448"/>
      <c r="H578" s="448"/>
      <c r="I578" s="448"/>
    </row>
    <row r="579" ht="15.75" customHeight="1">
      <c r="B579" s="448"/>
      <c r="C579" s="448"/>
      <c r="D579" s="448"/>
      <c r="E579" s="448"/>
      <c r="F579" s="448"/>
      <c r="G579" s="448"/>
      <c r="H579" s="448"/>
      <c r="I579" s="448"/>
    </row>
    <row r="580" ht="15.75" customHeight="1">
      <c r="B580" s="448"/>
      <c r="C580" s="448"/>
      <c r="D580" s="448"/>
      <c r="E580" s="448"/>
      <c r="F580" s="448"/>
      <c r="G580" s="448"/>
      <c r="H580" s="448"/>
      <c r="I580" s="448"/>
    </row>
    <row r="581" ht="15.75" customHeight="1">
      <c r="B581" s="448"/>
      <c r="C581" s="448"/>
      <c r="D581" s="448"/>
      <c r="E581" s="448"/>
      <c r="F581" s="448"/>
      <c r="G581" s="448"/>
      <c r="H581" s="448"/>
      <c r="I581" s="448"/>
    </row>
    <row r="582" ht="15.75" customHeight="1">
      <c r="B582" s="448"/>
      <c r="C582" s="448"/>
      <c r="D582" s="448"/>
      <c r="E582" s="448"/>
      <c r="F582" s="448"/>
      <c r="G582" s="448"/>
      <c r="H582" s="448"/>
      <c r="I582" s="448"/>
    </row>
    <row r="583" ht="15.75" customHeight="1">
      <c r="B583" s="448"/>
      <c r="C583" s="448"/>
      <c r="D583" s="448"/>
      <c r="E583" s="448"/>
      <c r="F583" s="448"/>
      <c r="G583" s="448"/>
      <c r="H583" s="448"/>
      <c r="I583" s="448"/>
    </row>
    <row r="584" ht="15.75" customHeight="1">
      <c r="B584" s="448"/>
      <c r="C584" s="448"/>
      <c r="D584" s="448"/>
      <c r="E584" s="448"/>
      <c r="F584" s="448"/>
      <c r="G584" s="448"/>
      <c r="H584" s="448"/>
      <c r="I584" s="448"/>
    </row>
    <row r="585" ht="15.75" customHeight="1">
      <c r="B585" s="448"/>
      <c r="C585" s="448"/>
      <c r="D585" s="448"/>
      <c r="E585" s="448"/>
      <c r="F585" s="448"/>
      <c r="G585" s="448"/>
      <c r="H585" s="448"/>
      <c r="I585" s="448"/>
    </row>
    <row r="586" ht="15.75" customHeight="1">
      <c r="B586" s="448"/>
      <c r="C586" s="448"/>
      <c r="D586" s="448"/>
      <c r="E586" s="448"/>
      <c r="F586" s="448"/>
      <c r="G586" s="448"/>
      <c r="H586" s="448"/>
      <c r="I586" s="448"/>
    </row>
    <row r="587" ht="15.75" customHeight="1">
      <c r="B587" s="448"/>
      <c r="C587" s="448"/>
      <c r="D587" s="448"/>
      <c r="E587" s="448"/>
      <c r="F587" s="448"/>
      <c r="G587" s="448"/>
      <c r="H587" s="448"/>
      <c r="I587" s="448"/>
    </row>
    <row r="588" ht="15.75" customHeight="1">
      <c r="B588" s="448"/>
      <c r="C588" s="448"/>
      <c r="D588" s="448"/>
      <c r="E588" s="448"/>
      <c r="F588" s="448"/>
      <c r="G588" s="448"/>
      <c r="H588" s="448"/>
      <c r="I588" s="448"/>
    </row>
    <row r="589" ht="15.75" customHeight="1">
      <c r="B589" s="448"/>
      <c r="C589" s="448"/>
      <c r="D589" s="448"/>
      <c r="E589" s="448"/>
      <c r="F589" s="448"/>
      <c r="G589" s="448"/>
      <c r="H589" s="448"/>
      <c r="I589" s="448"/>
    </row>
    <row r="590" ht="15.75" customHeight="1">
      <c r="B590" s="448"/>
      <c r="C590" s="448"/>
      <c r="D590" s="448"/>
      <c r="E590" s="448"/>
      <c r="F590" s="448"/>
      <c r="G590" s="448"/>
      <c r="H590" s="448"/>
      <c r="I590" s="448"/>
    </row>
    <row r="591" ht="15.75" customHeight="1">
      <c r="B591" s="448"/>
      <c r="C591" s="448"/>
      <c r="D591" s="448"/>
      <c r="E591" s="448"/>
      <c r="F591" s="448"/>
      <c r="G591" s="448"/>
      <c r="H591" s="448"/>
      <c r="I591" s="448"/>
    </row>
    <row r="592" ht="15.75" customHeight="1">
      <c r="B592" s="448"/>
      <c r="C592" s="448"/>
      <c r="D592" s="448"/>
      <c r="E592" s="448"/>
      <c r="F592" s="448"/>
      <c r="G592" s="448"/>
      <c r="H592" s="448"/>
      <c r="I592" s="448"/>
    </row>
    <row r="593" ht="15.75" customHeight="1">
      <c r="B593" s="448"/>
      <c r="C593" s="448"/>
      <c r="D593" s="448"/>
      <c r="E593" s="448"/>
      <c r="F593" s="448"/>
      <c r="G593" s="448"/>
      <c r="H593" s="448"/>
      <c r="I593" s="448"/>
    </row>
    <row r="594" ht="15.75" customHeight="1">
      <c r="B594" s="448"/>
      <c r="C594" s="448"/>
      <c r="D594" s="448"/>
      <c r="E594" s="448"/>
      <c r="F594" s="448"/>
      <c r="G594" s="448"/>
      <c r="H594" s="448"/>
      <c r="I594" s="448"/>
    </row>
    <row r="595" ht="15.75" customHeight="1">
      <c r="B595" s="448"/>
      <c r="C595" s="448"/>
      <c r="D595" s="448"/>
      <c r="E595" s="448"/>
      <c r="F595" s="448"/>
      <c r="G595" s="448"/>
      <c r="H595" s="448"/>
      <c r="I595" s="448"/>
    </row>
    <row r="596" ht="15.75" customHeight="1">
      <c r="B596" s="448"/>
      <c r="C596" s="448"/>
      <c r="D596" s="448"/>
      <c r="E596" s="448"/>
      <c r="F596" s="448"/>
      <c r="G596" s="448"/>
      <c r="H596" s="448"/>
      <c r="I596" s="448"/>
    </row>
    <row r="597" ht="15.75" customHeight="1">
      <c r="B597" s="448"/>
      <c r="C597" s="448"/>
      <c r="D597" s="448"/>
      <c r="E597" s="448"/>
      <c r="F597" s="448"/>
      <c r="G597" s="448"/>
      <c r="H597" s="448"/>
      <c r="I597" s="448"/>
    </row>
    <row r="598" ht="15.75" customHeight="1">
      <c r="B598" s="448"/>
      <c r="C598" s="448"/>
      <c r="D598" s="448"/>
      <c r="E598" s="448"/>
      <c r="F598" s="448"/>
      <c r="G598" s="448"/>
      <c r="H598" s="448"/>
      <c r="I598" s="448"/>
    </row>
    <row r="599" ht="15.75" customHeight="1">
      <c r="B599" s="448"/>
      <c r="C599" s="448"/>
      <c r="D599" s="448"/>
      <c r="E599" s="448"/>
      <c r="F599" s="448"/>
      <c r="G599" s="448"/>
      <c r="H599" s="448"/>
      <c r="I599" s="448"/>
    </row>
    <row r="600" ht="15.75" customHeight="1">
      <c r="B600" s="448"/>
      <c r="C600" s="448"/>
      <c r="D600" s="448"/>
      <c r="E600" s="448"/>
      <c r="F600" s="448"/>
      <c r="G600" s="448"/>
      <c r="H600" s="448"/>
      <c r="I600" s="448"/>
    </row>
    <row r="601" ht="15.75" customHeight="1">
      <c r="B601" s="448"/>
      <c r="C601" s="448"/>
      <c r="D601" s="448"/>
      <c r="E601" s="448"/>
      <c r="F601" s="448"/>
      <c r="G601" s="448"/>
      <c r="H601" s="448"/>
      <c r="I601" s="448"/>
    </row>
    <row r="602" ht="15.75" customHeight="1">
      <c r="B602" s="448"/>
      <c r="C602" s="448"/>
      <c r="D602" s="448"/>
      <c r="E602" s="448"/>
      <c r="F602" s="448"/>
      <c r="G602" s="448"/>
      <c r="H602" s="448"/>
      <c r="I602" s="448"/>
    </row>
    <row r="603" ht="15.75" customHeight="1">
      <c r="B603" s="448"/>
      <c r="C603" s="448"/>
      <c r="D603" s="448"/>
      <c r="E603" s="448"/>
      <c r="F603" s="448"/>
      <c r="G603" s="448"/>
      <c r="H603" s="448"/>
      <c r="I603" s="448"/>
    </row>
    <row r="604" ht="15.75" customHeight="1">
      <c r="B604" s="448"/>
      <c r="C604" s="448"/>
      <c r="D604" s="448"/>
      <c r="E604" s="448"/>
      <c r="F604" s="448"/>
      <c r="G604" s="448"/>
      <c r="H604" s="448"/>
      <c r="I604" s="448"/>
    </row>
    <row r="605" ht="15.75" customHeight="1">
      <c r="B605" s="448"/>
      <c r="C605" s="448"/>
      <c r="D605" s="448"/>
      <c r="E605" s="448"/>
      <c r="F605" s="448"/>
      <c r="G605" s="448"/>
      <c r="H605" s="448"/>
      <c r="I605" s="448"/>
    </row>
    <row r="606" ht="15.75" customHeight="1">
      <c r="B606" s="448"/>
      <c r="C606" s="448"/>
      <c r="D606" s="448"/>
      <c r="E606" s="448"/>
      <c r="F606" s="448"/>
      <c r="G606" s="448"/>
      <c r="H606" s="448"/>
      <c r="I606" s="448"/>
    </row>
    <row r="607" ht="15.75" customHeight="1">
      <c r="B607" s="448"/>
      <c r="C607" s="448"/>
      <c r="D607" s="448"/>
      <c r="E607" s="448"/>
      <c r="F607" s="448"/>
      <c r="G607" s="448"/>
      <c r="H607" s="448"/>
      <c r="I607" s="448"/>
    </row>
    <row r="608" ht="15.75" customHeight="1">
      <c r="B608" s="448"/>
      <c r="C608" s="448"/>
      <c r="D608" s="448"/>
      <c r="E608" s="448"/>
      <c r="F608" s="448"/>
      <c r="G608" s="448"/>
      <c r="H608" s="448"/>
      <c r="I608" s="448"/>
    </row>
    <row r="609" ht="15.75" customHeight="1">
      <c r="B609" s="448"/>
      <c r="C609" s="448"/>
      <c r="D609" s="448"/>
      <c r="E609" s="448"/>
      <c r="F609" s="448"/>
      <c r="G609" s="448"/>
      <c r="H609" s="448"/>
      <c r="I609" s="448"/>
    </row>
    <row r="610" ht="15.75" customHeight="1">
      <c r="B610" s="448"/>
      <c r="C610" s="448"/>
      <c r="D610" s="448"/>
      <c r="E610" s="448"/>
      <c r="F610" s="448"/>
      <c r="G610" s="448"/>
      <c r="H610" s="448"/>
      <c r="I610" s="448"/>
    </row>
    <row r="611" ht="15.75" customHeight="1">
      <c r="B611" s="448"/>
      <c r="C611" s="448"/>
      <c r="D611" s="448"/>
      <c r="E611" s="448"/>
      <c r="F611" s="448"/>
      <c r="G611" s="448"/>
      <c r="H611" s="448"/>
      <c r="I611" s="448"/>
    </row>
    <row r="612" ht="15.75" customHeight="1">
      <c r="B612" s="448"/>
      <c r="C612" s="448"/>
      <c r="D612" s="448"/>
      <c r="E612" s="448"/>
      <c r="F612" s="448"/>
      <c r="G612" s="448"/>
      <c r="H612" s="448"/>
      <c r="I612" s="448"/>
    </row>
    <row r="613" ht="15.75" customHeight="1">
      <c r="B613" s="448"/>
      <c r="C613" s="448"/>
      <c r="D613" s="448"/>
      <c r="E613" s="448"/>
      <c r="F613" s="448"/>
      <c r="G613" s="448"/>
      <c r="H613" s="448"/>
      <c r="I613" s="448"/>
    </row>
    <row r="614" ht="15.75" customHeight="1">
      <c r="B614" s="448"/>
      <c r="C614" s="448"/>
      <c r="D614" s="448"/>
      <c r="E614" s="448"/>
      <c r="F614" s="448"/>
      <c r="G614" s="448"/>
      <c r="H614" s="448"/>
      <c r="I614" s="448"/>
    </row>
    <row r="615" ht="15.75" customHeight="1">
      <c r="B615" s="448"/>
      <c r="C615" s="448"/>
      <c r="D615" s="448"/>
      <c r="E615" s="448"/>
      <c r="F615" s="448"/>
      <c r="G615" s="448"/>
      <c r="H615" s="448"/>
      <c r="I615" s="448"/>
    </row>
    <row r="616" ht="15.75" customHeight="1">
      <c r="B616" s="448"/>
      <c r="C616" s="448"/>
      <c r="D616" s="448"/>
      <c r="E616" s="448"/>
      <c r="F616" s="448"/>
      <c r="G616" s="448"/>
      <c r="H616" s="448"/>
      <c r="I616" s="448"/>
    </row>
    <row r="617" ht="15.75" customHeight="1">
      <c r="B617" s="448"/>
      <c r="C617" s="448"/>
      <c r="D617" s="448"/>
      <c r="E617" s="448"/>
      <c r="F617" s="448"/>
      <c r="G617" s="448"/>
      <c r="H617" s="448"/>
      <c r="I617" s="448"/>
    </row>
    <row r="618" ht="15.75" customHeight="1">
      <c r="B618" s="448"/>
      <c r="C618" s="448"/>
      <c r="D618" s="448"/>
      <c r="E618" s="448"/>
      <c r="F618" s="448"/>
      <c r="G618" s="448"/>
      <c r="H618" s="448"/>
      <c r="I618" s="448"/>
    </row>
    <row r="619" ht="15.75" customHeight="1">
      <c r="B619" s="448"/>
      <c r="C619" s="448"/>
      <c r="D619" s="448"/>
      <c r="E619" s="448"/>
      <c r="F619" s="448"/>
      <c r="G619" s="448"/>
      <c r="H619" s="448"/>
      <c r="I619" s="448"/>
    </row>
    <row r="620" ht="15.75" customHeight="1">
      <c r="B620" s="448"/>
      <c r="C620" s="448"/>
      <c r="D620" s="448"/>
      <c r="E620" s="448"/>
      <c r="F620" s="448"/>
      <c r="G620" s="448"/>
      <c r="H620" s="448"/>
      <c r="I620" s="448"/>
    </row>
    <row r="621" ht="15.75" customHeight="1">
      <c r="B621" s="448"/>
      <c r="C621" s="448"/>
      <c r="D621" s="448"/>
      <c r="E621" s="448"/>
      <c r="F621" s="448"/>
      <c r="G621" s="448"/>
      <c r="H621" s="448"/>
      <c r="I621" s="448"/>
    </row>
    <row r="622" ht="15.75" customHeight="1">
      <c r="B622" s="448"/>
      <c r="C622" s="448"/>
      <c r="D622" s="448"/>
      <c r="E622" s="448"/>
      <c r="F622" s="448"/>
      <c r="G622" s="448"/>
      <c r="H622" s="448"/>
      <c r="I622" s="448"/>
    </row>
    <row r="623" ht="15.75" customHeight="1">
      <c r="B623" s="448"/>
      <c r="C623" s="448"/>
      <c r="D623" s="448"/>
      <c r="E623" s="448"/>
      <c r="F623" s="448"/>
      <c r="G623" s="448"/>
      <c r="H623" s="448"/>
      <c r="I623" s="448"/>
    </row>
    <row r="624" ht="15.75" customHeight="1">
      <c r="B624" s="448"/>
      <c r="C624" s="448"/>
      <c r="D624" s="448"/>
      <c r="E624" s="448"/>
      <c r="F624" s="448"/>
      <c r="G624" s="448"/>
      <c r="H624" s="448"/>
      <c r="I624" s="448"/>
    </row>
    <row r="625" ht="15.75" customHeight="1">
      <c r="B625" s="448"/>
      <c r="C625" s="448"/>
      <c r="D625" s="448"/>
      <c r="E625" s="448"/>
      <c r="F625" s="448"/>
      <c r="G625" s="448"/>
      <c r="H625" s="448"/>
      <c r="I625" s="448"/>
    </row>
    <row r="626" ht="15.75" customHeight="1">
      <c r="B626" s="448"/>
      <c r="C626" s="448"/>
      <c r="D626" s="448"/>
      <c r="E626" s="448"/>
      <c r="F626" s="448"/>
      <c r="G626" s="448"/>
      <c r="H626" s="448"/>
      <c r="I626" s="448"/>
    </row>
    <row r="627" ht="15.75" customHeight="1">
      <c r="B627" s="448"/>
      <c r="C627" s="448"/>
      <c r="D627" s="448"/>
      <c r="E627" s="448"/>
      <c r="F627" s="448"/>
      <c r="G627" s="448"/>
      <c r="H627" s="448"/>
      <c r="I627" s="448"/>
    </row>
    <row r="628" ht="15.75" customHeight="1">
      <c r="B628" s="448"/>
      <c r="C628" s="448"/>
      <c r="D628" s="448"/>
      <c r="E628" s="448"/>
      <c r="F628" s="448"/>
      <c r="G628" s="448"/>
      <c r="H628" s="448"/>
      <c r="I628" s="448"/>
    </row>
    <row r="629" ht="15.75" customHeight="1">
      <c r="B629" s="448"/>
      <c r="C629" s="448"/>
      <c r="D629" s="448"/>
      <c r="E629" s="448"/>
      <c r="F629" s="448"/>
      <c r="G629" s="448"/>
      <c r="H629" s="448"/>
      <c r="I629" s="448"/>
    </row>
    <row r="630" ht="15.75" customHeight="1">
      <c r="B630" s="448"/>
      <c r="C630" s="448"/>
      <c r="D630" s="448"/>
      <c r="E630" s="448"/>
      <c r="F630" s="448"/>
      <c r="G630" s="448"/>
      <c r="H630" s="448"/>
      <c r="I630" s="448"/>
    </row>
    <row r="631" ht="15.75" customHeight="1">
      <c r="B631" s="448"/>
      <c r="C631" s="448"/>
      <c r="D631" s="448"/>
      <c r="E631" s="448"/>
      <c r="F631" s="448"/>
      <c r="G631" s="448"/>
      <c r="H631" s="448"/>
      <c r="I631" s="448"/>
    </row>
    <row r="632" ht="15.75" customHeight="1">
      <c r="B632" s="448"/>
      <c r="C632" s="448"/>
      <c r="D632" s="448"/>
      <c r="E632" s="448"/>
      <c r="F632" s="448"/>
      <c r="G632" s="448"/>
      <c r="H632" s="448"/>
      <c r="I632" s="448"/>
    </row>
    <row r="633" ht="15.75" customHeight="1">
      <c r="B633" s="448"/>
      <c r="C633" s="448"/>
      <c r="D633" s="448"/>
      <c r="E633" s="448"/>
      <c r="F633" s="448"/>
      <c r="G633" s="448"/>
      <c r="H633" s="448"/>
      <c r="I633" s="448"/>
    </row>
    <row r="634" ht="15.75" customHeight="1">
      <c r="B634" s="448"/>
      <c r="C634" s="448"/>
      <c r="D634" s="448"/>
      <c r="E634" s="448"/>
      <c r="F634" s="448"/>
      <c r="G634" s="448"/>
      <c r="H634" s="448"/>
      <c r="I634" s="448"/>
    </row>
    <row r="635" ht="15.75" customHeight="1">
      <c r="B635" s="448"/>
      <c r="C635" s="448"/>
      <c r="D635" s="448"/>
      <c r="E635" s="448"/>
      <c r="F635" s="448"/>
      <c r="G635" s="448"/>
      <c r="H635" s="448"/>
      <c r="I635" s="448"/>
    </row>
    <row r="636" ht="15.75" customHeight="1">
      <c r="B636" s="448"/>
      <c r="C636" s="448"/>
      <c r="D636" s="448"/>
      <c r="E636" s="448"/>
      <c r="F636" s="448"/>
      <c r="G636" s="448"/>
      <c r="H636" s="448"/>
      <c r="I636" s="448"/>
    </row>
    <row r="637" ht="15.75" customHeight="1">
      <c r="B637" s="448"/>
      <c r="C637" s="448"/>
      <c r="D637" s="448"/>
      <c r="E637" s="448"/>
      <c r="F637" s="448"/>
      <c r="G637" s="448"/>
      <c r="H637" s="448"/>
      <c r="I637" s="448"/>
    </row>
    <row r="638" ht="15.75" customHeight="1">
      <c r="B638" s="448"/>
      <c r="C638" s="448"/>
      <c r="D638" s="448"/>
      <c r="E638" s="448"/>
      <c r="F638" s="448"/>
      <c r="G638" s="448"/>
      <c r="H638" s="448"/>
      <c r="I638" s="448"/>
    </row>
    <row r="639" ht="15.75" customHeight="1">
      <c r="B639" s="448"/>
      <c r="C639" s="448"/>
      <c r="D639" s="448"/>
      <c r="E639" s="448"/>
      <c r="F639" s="448"/>
      <c r="G639" s="448"/>
      <c r="H639" s="448"/>
      <c r="I639" s="448"/>
    </row>
    <row r="640" ht="15.75" customHeight="1">
      <c r="B640" s="448"/>
      <c r="C640" s="448"/>
      <c r="D640" s="448"/>
      <c r="E640" s="448"/>
      <c r="F640" s="448"/>
      <c r="G640" s="448"/>
      <c r="H640" s="448"/>
      <c r="I640" s="448"/>
    </row>
    <row r="641" ht="15.75" customHeight="1">
      <c r="B641" s="448"/>
      <c r="C641" s="448"/>
      <c r="D641" s="448"/>
      <c r="E641" s="448"/>
      <c r="F641" s="448"/>
      <c r="G641" s="448"/>
      <c r="H641" s="448"/>
      <c r="I641" s="448"/>
    </row>
    <row r="642" ht="15.75" customHeight="1">
      <c r="B642" s="448"/>
      <c r="C642" s="448"/>
      <c r="D642" s="448"/>
      <c r="E642" s="448"/>
      <c r="F642" s="448"/>
      <c r="G642" s="448"/>
      <c r="H642" s="448"/>
      <c r="I642" s="448"/>
    </row>
    <row r="643" ht="15.75" customHeight="1">
      <c r="B643" s="448"/>
      <c r="C643" s="448"/>
      <c r="D643" s="448"/>
      <c r="E643" s="448"/>
      <c r="F643" s="448"/>
      <c r="G643" s="448"/>
      <c r="H643" s="448"/>
      <c r="I643" s="448"/>
    </row>
    <row r="644" ht="15.75" customHeight="1">
      <c r="B644" s="448"/>
      <c r="C644" s="448"/>
      <c r="D644" s="448"/>
      <c r="E644" s="448"/>
      <c r="F644" s="448"/>
      <c r="G644" s="448"/>
      <c r="H644" s="448"/>
      <c r="I644" s="448"/>
    </row>
    <row r="645" ht="15.75" customHeight="1">
      <c r="B645" s="448"/>
      <c r="C645" s="448"/>
      <c r="D645" s="448"/>
      <c r="E645" s="448"/>
      <c r="F645" s="448"/>
      <c r="G645" s="448"/>
      <c r="H645" s="448"/>
      <c r="I645" s="448"/>
    </row>
    <row r="646" ht="15.75" customHeight="1">
      <c r="B646" s="448"/>
      <c r="C646" s="448"/>
      <c r="D646" s="448"/>
      <c r="E646" s="448"/>
      <c r="F646" s="448"/>
      <c r="G646" s="448"/>
      <c r="H646" s="448"/>
      <c r="I646" s="448"/>
    </row>
    <row r="647" ht="15.75" customHeight="1">
      <c r="B647" s="448"/>
      <c r="C647" s="448"/>
      <c r="D647" s="448"/>
      <c r="E647" s="448"/>
      <c r="F647" s="448"/>
      <c r="G647" s="448"/>
      <c r="H647" s="448"/>
      <c r="I647" s="448"/>
    </row>
    <row r="648" ht="15.75" customHeight="1">
      <c r="B648" s="448"/>
      <c r="C648" s="448"/>
      <c r="D648" s="448"/>
      <c r="E648" s="448"/>
      <c r="F648" s="448"/>
      <c r="G648" s="448"/>
      <c r="H648" s="448"/>
      <c r="I648" s="448"/>
    </row>
    <row r="649" ht="15.75" customHeight="1">
      <c r="B649" s="448"/>
      <c r="C649" s="448"/>
      <c r="D649" s="448"/>
      <c r="E649" s="448"/>
      <c r="F649" s="448"/>
      <c r="G649" s="448"/>
      <c r="H649" s="448"/>
      <c r="I649" s="448"/>
    </row>
    <row r="650" ht="15.75" customHeight="1">
      <c r="B650" s="448"/>
      <c r="C650" s="448"/>
      <c r="D650" s="448"/>
      <c r="E650" s="448"/>
      <c r="F650" s="448"/>
      <c r="G650" s="448"/>
      <c r="H650" s="448"/>
      <c r="I650" s="448"/>
    </row>
    <row r="651" ht="15.75" customHeight="1">
      <c r="B651" s="448"/>
      <c r="C651" s="448"/>
      <c r="D651" s="448"/>
      <c r="E651" s="448"/>
      <c r="F651" s="448"/>
      <c r="G651" s="448"/>
      <c r="H651" s="448"/>
      <c r="I651" s="448"/>
    </row>
    <row r="652" ht="15.75" customHeight="1">
      <c r="B652" s="448"/>
      <c r="C652" s="448"/>
      <c r="D652" s="448"/>
      <c r="E652" s="448"/>
      <c r="F652" s="448"/>
      <c r="G652" s="448"/>
      <c r="H652" s="448"/>
      <c r="I652" s="448"/>
    </row>
    <row r="653" ht="15.75" customHeight="1">
      <c r="B653" s="448"/>
      <c r="C653" s="448"/>
      <c r="D653" s="448"/>
      <c r="E653" s="448"/>
      <c r="F653" s="448"/>
      <c r="G653" s="448"/>
      <c r="H653" s="448"/>
      <c r="I653" s="448"/>
    </row>
    <row r="654" ht="15.75" customHeight="1">
      <c r="B654" s="448"/>
      <c r="C654" s="448"/>
      <c r="D654" s="448"/>
      <c r="E654" s="448"/>
      <c r="F654" s="448"/>
      <c r="G654" s="448"/>
      <c r="H654" s="448"/>
      <c r="I654" s="448"/>
    </row>
    <row r="655" ht="15.75" customHeight="1">
      <c r="B655" s="448"/>
      <c r="C655" s="448"/>
      <c r="D655" s="448"/>
      <c r="E655" s="448"/>
      <c r="F655" s="448"/>
      <c r="G655" s="448"/>
      <c r="H655" s="448"/>
      <c r="I655" s="448"/>
    </row>
    <row r="656" ht="15.75" customHeight="1">
      <c r="B656" s="448"/>
      <c r="C656" s="448"/>
      <c r="D656" s="448"/>
      <c r="E656" s="448"/>
      <c r="F656" s="448"/>
      <c r="G656" s="448"/>
      <c r="H656" s="448"/>
      <c r="I656" s="448"/>
    </row>
    <row r="657" ht="15.75" customHeight="1">
      <c r="B657" s="448"/>
      <c r="C657" s="448"/>
      <c r="D657" s="448"/>
      <c r="E657" s="448"/>
      <c r="F657" s="448"/>
      <c r="G657" s="448"/>
      <c r="H657" s="448"/>
      <c r="I657" s="448"/>
    </row>
    <row r="658" ht="15.75" customHeight="1">
      <c r="B658" s="448"/>
      <c r="C658" s="448"/>
      <c r="D658" s="448"/>
      <c r="E658" s="448"/>
      <c r="F658" s="448"/>
      <c r="G658" s="448"/>
      <c r="H658" s="448"/>
      <c r="I658" s="448"/>
    </row>
    <row r="659" ht="15.75" customHeight="1">
      <c r="B659" s="448"/>
      <c r="C659" s="448"/>
      <c r="D659" s="448"/>
      <c r="E659" s="448"/>
      <c r="F659" s="448"/>
      <c r="G659" s="448"/>
      <c r="H659" s="448"/>
      <c r="I659" s="448"/>
    </row>
    <row r="660" ht="15.75" customHeight="1">
      <c r="B660" s="448"/>
      <c r="C660" s="448"/>
      <c r="D660" s="448"/>
      <c r="E660" s="448"/>
      <c r="F660" s="448"/>
      <c r="G660" s="448"/>
      <c r="H660" s="448"/>
      <c r="I660" s="448"/>
    </row>
    <row r="661" ht="15.75" customHeight="1">
      <c r="B661" s="448"/>
      <c r="C661" s="448"/>
      <c r="D661" s="448"/>
      <c r="E661" s="448"/>
      <c r="F661" s="448"/>
      <c r="G661" s="448"/>
      <c r="H661" s="448"/>
      <c r="I661" s="448"/>
    </row>
    <row r="662" ht="15.75" customHeight="1">
      <c r="B662" s="448"/>
      <c r="C662" s="448"/>
      <c r="D662" s="448"/>
      <c r="E662" s="448"/>
      <c r="F662" s="448"/>
      <c r="G662" s="448"/>
      <c r="H662" s="448"/>
      <c r="I662" s="448"/>
    </row>
    <row r="663" ht="15.75" customHeight="1">
      <c r="B663" s="448"/>
      <c r="C663" s="448"/>
      <c r="D663" s="448"/>
      <c r="E663" s="448"/>
      <c r="F663" s="448"/>
      <c r="G663" s="448"/>
      <c r="H663" s="448"/>
      <c r="I663" s="448"/>
    </row>
    <row r="664" ht="15.75" customHeight="1">
      <c r="B664" s="448"/>
      <c r="C664" s="448"/>
      <c r="D664" s="448"/>
      <c r="E664" s="448"/>
      <c r="F664" s="448"/>
      <c r="G664" s="448"/>
      <c r="H664" s="448"/>
      <c r="I664" s="448"/>
    </row>
    <row r="665" ht="15.75" customHeight="1">
      <c r="B665" s="448"/>
      <c r="C665" s="448"/>
      <c r="D665" s="448"/>
      <c r="E665" s="448"/>
      <c r="F665" s="448"/>
      <c r="G665" s="448"/>
      <c r="H665" s="448"/>
      <c r="I665" s="448"/>
    </row>
    <row r="666" ht="15.75" customHeight="1">
      <c r="B666" s="448"/>
      <c r="C666" s="448"/>
      <c r="D666" s="448"/>
      <c r="E666" s="448"/>
      <c r="F666" s="448"/>
      <c r="G666" s="448"/>
      <c r="H666" s="448"/>
      <c r="I666" s="448"/>
    </row>
    <row r="667" ht="15.75" customHeight="1">
      <c r="B667" s="448"/>
      <c r="C667" s="448"/>
      <c r="D667" s="448"/>
      <c r="E667" s="448"/>
      <c r="F667" s="448"/>
      <c r="G667" s="448"/>
      <c r="H667" s="448"/>
      <c r="I667" s="448"/>
    </row>
    <row r="668" ht="15.75" customHeight="1">
      <c r="B668" s="448"/>
      <c r="C668" s="448"/>
      <c r="D668" s="448"/>
      <c r="E668" s="448"/>
      <c r="F668" s="448"/>
      <c r="G668" s="448"/>
      <c r="H668" s="448"/>
      <c r="I668" s="448"/>
    </row>
    <row r="669" ht="15.75" customHeight="1">
      <c r="B669" s="448"/>
      <c r="C669" s="448"/>
      <c r="D669" s="448"/>
      <c r="E669" s="448"/>
      <c r="F669" s="448"/>
      <c r="G669" s="448"/>
      <c r="H669" s="448"/>
      <c r="I669" s="448"/>
    </row>
    <row r="670" ht="15.75" customHeight="1">
      <c r="B670" s="448"/>
      <c r="C670" s="448"/>
      <c r="D670" s="448"/>
      <c r="E670" s="448"/>
      <c r="F670" s="448"/>
      <c r="G670" s="448"/>
      <c r="H670" s="448"/>
      <c r="I670" s="448"/>
    </row>
    <row r="671" ht="15.75" customHeight="1">
      <c r="B671" s="448"/>
      <c r="C671" s="448"/>
      <c r="D671" s="448"/>
      <c r="E671" s="448"/>
      <c r="F671" s="448"/>
      <c r="G671" s="448"/>
      <c r="H671" s="448"/>
      <c r="I671" s="448"/>
    </row>
    <row r="672" ht="15.75" customHeight="1">
      <c r="B672" s="448"/>
      <c r="C672" s="448"/>
      <c r="D672" s="448"/>
      <c r="E672" s="448"/>
      <c r="F672" s="448"/>
      <c r="G672" s="448"/>
      <c r="H672" s="448"/>
      <c r="I672" s="448"/>
    </row>
    <row r="673" ht="15.75" customHeight="1">
      <c r="B673" s="448"/>
      <c r="C673" s="448"/>
      <c r="D673" s="448"/>
      <c r="E673" s="448"/>
      <c r="F673" s="448"/>
      <c r="G673" s="448"/>
      <c r="H673" s="448"/>
      <c r="I673" s="448"/>
    </row>
    <row r="674" ht="15.75" customHeight="1">
      <c r="B674" s="448"/>
      <c r="C674" s="448"/>
      <c r="D674" s="448"/>
      <c r="E674" s="448"/>
      <c r="F674" s="448"/>
      <c r="G674" s="448"/>
      <c r="H674" s="448"/>
      <c r="I674" s="448"/>
    </row>
    <row r="675" ht="15.75" customHeight="1">
      <c r="B675" s="448"/>
      <c r="C675" s="448"/>
      <c r="D675" s="448"/>
      <c r="E675" s="448"/>
      <c r="F675" s="448"/>
      <c r="G675" s="448"/>
      <c r="H675" s="448"/>
      <c r="I675" s="448"/>
    </row>
    <row r="676" ht="15.75" customHeight="1">
      <c r="B676" s="448"/>
      <c r="C676" s="448"/>
      <c r="D676" s="448"/>
      <c r="E676" s="448"/>
      <c r="F676" s="448"/>
      <c r="G676" s="448"/>
      <c r="H676" s="448"/>
      <c r="I676" s="448"/>
    </row>
    <row r="677" ht="15.75" customHeight="1">
      <c r="B677" s="448"/>
      <c r="C677" s="448"/>
      <c r="D677" s="448"/>
      <c r="E677" s="448"/>
      <c r="F677" s="448"/>
      <c r="G677" s="448"/>
      <c r="H677" s="448"/>
      <c r="I677" s="448"/>
    </row>
    <row r="678" ht="15.75" customHeight="1">
      <c r="B678" s="448"/>
      <c r="C678" s="448"/>
      <c r="D678" s="448"/>
      <c r="E678" s="448"/>
      <c r="F678" s="448"/>
      <c r="G678" s="448"/>
      <c r="H678" s="448"/>
      <c r="I678" s="448"/>
    </row>
    <row r="679" ht="15.75" customHeight="1">
      <c r="B679" s="448"/>
      <c r="C679" s="448"/>
      <c r="D679" s="448"/>
      <c r="E679" s="448"/>
      <c r="F679" s="448"/>
      <c r="G679" s="448"/>
      <c r="H679" s="448"/>
      <c r="I679" s="448"/>
    </row>
    <row r="680" ht="15.75" customHeight="1">
      <c r="B680" s="448"/>
      <c r="C680" s="448"/>
      <c r="D680" s="448"/>
      <c r="E680" s="448"/>
      <c r="F680" s="448"/>
      <c r="G680" s="448"/>
      <c r="H680" s="448"/>
      <c r="I680" s="448"/>
    </row>
    <row r="681" ht="15.75" customHeight="1">
      <c r="B681" s="448"/>
      <c r="C681" s="448"/>
      <c r="D681" s="448"/>
      <c r="E681" s="448"/>
      <c r="F681" s="448"/>
      <c r="G681" s="448"/>
      <c r="H681" s="448"/>
      <c r="I681" s="448"/>
    </row>
    <row r="682" ht="15.75" customHeight="1">
      <c r="B682" s="448"/>
      <c r="C682" s="448"/>
      <c r="D682" s="448"/>
      <c r="E682" s="448"/>
      <c r="F682" s="448"/>
      <c r="G682" s="448"/>
      <c r="H682" s="448"/>
      <c r="I682" s="448"/>
    </row>
    <row r="683" ht="15.75" customHeight="1">
      <c r="B683" s="448"/>
      <c r="C683" s="448"/>
      <c r="D683" s="448"/>
      <c r="E683" s="448"/>
      <c r="F683" s="448"/>
      <c r="G683" s="448"/>
      <c r="H683" s="448"/>
      <c r="I683" s="448"/>
    </row>
    <row r="684" ht="15.75" customHeight="1">
      <c r="B684" s="448"/>
      <c r="C684" s="448"/>
      <c r="D684" s="448"/>
      <c r="E684" s="448"/>
      <c r="F684" s="448"/>
      <c r="G684" s="448"/>
      <c r="H684" s="448"/>
      <c r="I684" s="448"/>
    </row>
    <row r="685" ht="15.75" customHeight="1">
      <c r="B685" s="448"/>
      <c r="C685" s="448"/>
      <c r="D685" s="448"/>
      <c r="E685" s="448"/>
      <c r="F685" s="448"/>
      <c r="G685" s="448"/>
      <c r="H685" s="448"/>
      <c r="I685" s="448"/>
    </row>
    <row r="686" ht="15.75" customHeight="1">
      <c r="B686" s="448"/>
      <c r="C686" s="448"/>
      <c r="D686" s="448"/>
      <c r="E686" s="448"/>
      <c r="F686" s="448"/>
      <c r="G686" s="448"/>
      <c r="H686" s="448"/>
      <c r="I686" s="448"/>
    </row>
    <row r="687" ht="15.75" customHeight="1">
      <c r="B687" s="448"/>
      <c r="C687" s="448"/>
      <c r="D687" s="448"/>
      <c r="E687" s="448"/>
      <c r="F687" s="448"/>
      <c r="G687" s="448"/>
      <c r="H687" s="448"/>
      <c r="I687" s="448"/>
    </row>
    <row r="688" ht="15.75" customHeight="1">
      <c r="B688" s="448"/>
      <c r="C688" s="448"/>
      <c r="D688" s="448"/>
      <c r="E688" s="448"/>
      <c r="F688" s="448"/>
      <c r="G688" s="448"/>
      <c r="H688" s="448"/>
      <c r="I688" s="448"/>
    </row>
    <row r="689" ht="15.75" customHeight="1">
      <c r="B689" s="448"/>
      <c r="C689" s="448"/>
      <c r="D689" s="448"/>
      <c r="E689" s="448"/>
      <c r="F689" s="448"/>
      <c r="G689" s="448"/>
      <c r="H689" s="448"/>
      <c r="I689" s="448"/>
    </row>
    <row r="690" ht="15.75" customHeight="1">
      <c r="B690" s="448"/>
      <c r="C690" s="448"/>
      <c r="D690" s="448"/>
      <c r="E690" s="448"/>
      <c r="F690" s="448"/>
      <c r="G690" s="448"/>
      <c r="H690" s="448"/>
      <c r="I690" s="448"/>
    </row>
    <row r="691" ht="15.75" customHeight="1">
      <c r="B691" s="448"/>
      <c r="C691" s="448"/>
      <c r="D691" s="448"/>
      <c r="E691" s="448"/>
      <c r="F691" s="448"/>
      <c r="G691" s="448"/>
      <c r="H691" s="448"/>
      <c r="I691" s="448"/>
    </row>
    <row r="692" ht="15.75" customHeight="1">
      <c r="B692" s="448"/>
      <c r="C692" s="448"/>
      <c r="D692" s="448"/>
      <c r="E692" s="448"/>
      <c r="F692" s="448"/>
      <c r="G692" s="448"/>
      <c r="H692" s="448"/>
      <c r="I692" s="448"/>
    </row>
    <row r="693" ht="15.75" customHeight="1">
      <c r="B693" s="448"/>
      <c r="C693" s="448"/>
      <c r="D693" s="448"/>
      <c r="E693" s="448"/>
      <c r="F693" s="448"/>
      <c r="G693" s="448"/>
      <c r="H693" s="448"/>
      <c r="I693" s="448"/>
    </row>
    <row r="694" ht="15.75" customHeight="1">
      <c r="B694" s="448"/>
      <c r="C694" s="448"/>
      <c r="D694" s="448"/>
      <c r="E694" s="448"/>
      <c r="F694" s="448"/>
      <c r="G694" s="448"/>
      <c r="H694" s="448"/>
      <c r="I694" s="448"/>
    </row>
    <row r="695" ht="15.75" customHeight="1">
      <c r="B695" s="448"/>
      <c r="C695" s="448"/>
      <c r="D695" s="448"/>
      <c r="E695" s="448"/>
      <c r="F695" s="448"/>
      <c r="G695" s="448"/>
      <c r="H695" s="448"/>
      <c r="I695" s="448"/>
    </row>
    <row r="696" ht="15.75" customHeight="1">
      <c r="B696" s="448"/>
      <c r="C696" s="448"/>
      <c r="D696" s="448"/>
      <c r="E696" s="448"/>
      <c r="F696" s="448"/>
      <c r="G696" s="448"/>
      <c r="H696" s="448"/>
      <c r="I696" s="448"/>
    </row>
    <row r="697" ht="15.75" customHeight="1">
      <c r="B697" s="448"/>
      <c r="C697" s="448"/>
      <c r="D697" s="448"/>
      <c r="E697" s="448"/>
      <c r="F697" s="448"/>
      <c r="G697" s="448"/>
      <c r="H697" s="448"/>
      <c r="I697" s="448"/>
    </row>
    <row r="698" ht="15.75" customHeight="1">
      <c r="B698" s="448"/>
      <c r="C698" s="448"/>
      <c r="D698" s="448"/>
      <c r="E698" s="448"/>
      <c r="F698" s="448"/>
      <c r="G698" s="448"/>
      <c r="H698" s="448"/>
      <c r="I698" s="448"/>
    </row>
    <row r="699" ht="15.75" customHeight="1">
      <c r="B699" s="448"/>
      <c r="C699" s="448"/>
      <c r="D699" s="448"/>
      <c r="E699" s="448"/>
      <c r="F699" s="448"/>
      <c r="G699" s="448"/>
      <c r="H699" s="448"/>
      <c r="I699" s="448"/>
    </row>
    <row r="700" ht="15.75" customHeight="1">
      <c r="B700" s="448"/>
      <c r="C700" s="448"/>
      <c r="D700" s="448"/>
      <c r="E700" s="448"/>
      <c r="F700" s="448"/>
      <c r="G700" s="448"/>
      <c r="H700" s="448"/>
      <c r="I700" s="448"/>
    </row>
    <row r="701" ht="15.75" customHeight="1">
      <c r="B701" s="448"/>
      <c r="C701" s="448"/>
      <c r="D701" s="448"/>
      <c r="E701" s="448"/>
      <c r="F701" s="448"/>
      <c r="G701" s="448"/>
      <c r="H701" s="448"/>
      <c r="I701" s="448"/>
    </row>
    <row r="702" ht="15.75" customHeight="1">
      <c r="B702" s="448"/>
      <c r="C702" s="448"/>
      <c r="D702" s="448"/>
      <c r="E702" s="448"/>
      <c r="F702" s="448"/>
      <c r="G702" s="448"/>
      <c r="H702" s="448"/>
      <c r="I702" s="448"/>
    </row>
    <row r="703" ht="15.75" customHeight="1">
      <c r="B703" s="448"/>
      <c r="C703" s="448"/>
      <c r="D703" s="448"/>
      <c r="E703" s="448"/>
      <c r="F703" s="448"/>
      <c r="G703" s="448"/>
      <c r="H703" s="448"/>
      <c r="I703" s="448"/>
    </row>
    <row r="704" ht="15.75" customHeight="1">
      <c r="B704" s="448"/>
      <c r="C704" s="448"/>
      <c r="D704" s="448"/>
      <c r="E704" s="448"/>
      <c r="F704" s="448"/>
      <c r="G704" s="448"/>
      <c r="H704" s="448"/>
      <c r="I704" s="448"/>
    </row>
    <row r="705" ht="15.75" customHeight="1">
      <c r="B705" s="448"/>
      <c r="C705" s="448"/>
      <c r="D705" s="448"/>
      <c r="E705" s="448"/>
      <c r="F705" s="448"/>
      <c r="G705" s="448"/>
      <c r="H705" s="448"/>
      <c r="I705" s="448"/>
    </row>
    <row r="706" ht="15.75" customHeight="1">
      <c r="B706" s="448"/>
      <c r="C706" s="448"/>
      <c r="D706" s="448"/>
      <c r="E706" s="448"/>
      <c r="F706" s="448"/>
      <c r="G706" s="448"/>
      <c r="H706" s="448"/>
      <c r="I706" s="448"/>
    </row>
    <row r="707" ht="15.75" customHeight="1">
      <c r="B707" s="448"/>
      <c r="C707" s="448"/>
      <c r="D707" s="448"/>
      <c r="E707" s="448"/>
      <c r="F707" s="448"/>
      <c r="G707" s="448"/>
      <c r="H707" s="448"/>
      <c r="I707" s="448"/>
    </row>
    <row r="708" ht="15.75" customHeight="1">
      <c r="B708" s="448"/>
      <c r="C708" s="448"/>
      <c r="D708" s="448"/>
      <c r="E708" s="448"/>
      <c r="F708" s="448"/>
      <c r="G708" s="448"/>
      <c r="H708" s="448"/>
      <c r="I708" s="448"/>
    </row>
    <row r="709" ht="15.75" customHeight="1">
      <c r="B709" s="448"/>
      <c r="C709" s="448"/>
      <c r="D709" s="448"/>
      <c r="E709" s="448"/>
      <c r="F709" s="448"/>
      <c r="G709" s="448"/>
      <c r="H709" s="448"/>
      <c r="I709" s="448"/>
    </row>
    <row r="710" ht="15.75" customHeight="1">
      <c r="B710" s="448"/>
      <c r="C710" s="448"/>
      <c r="D710" s="448"/>
      <c r="E710" s="448"/>
      <c r="F710" s="448"/>
      <c r="G710" s="448"/>
      <c r="H710" s="448"/>
      <c r="I710" s="448"/>
    </row>
    <row r="711" ht="15.75" customHeight="1">
      <c r="B711" s="448"/>
      <c r="C711" s="448"/>
      <c r="D711" s="448"/>
      <c r="E711" s="448"/>
      <c r="F711" s="448"/>
      <c r="G711" s="448"/>
      <c r="H711" s="448"/>
      <c r="I711" s="448"/>
    </row>
    <row r="712" ht="15.75" customHeight="1">
      <c r="B712" s="448"/>
      <c r="C712" s="448"/>
      <c r="D712" s="448"/>
      <c r="E712" s="448"/>
      <c r="F712" s="448"/>
      <c r="G712" s="448"/>
      <c r="H712" s="448"/>
      <c r="I712" s="448"/>
    </row>
    <row r="713" ht="15.75" customHeight="1">
      <c r="B713" s="448"/>
      <c r="C713" s="448"/>
      <c r="D713" s="448"/>
      <c r="E713" s="448"/>
      <c r="F713" s="448"/>
      <c r="G713" s="448"/>
      <c r="H713" s="448"/>
      <c r="I713" s="448"/>
    </row>
    <row r="714" ht="15.75" customHeight="1">
      <c r="B714" s="448"/>
      <c r="C714" s="448"/>
      <c r="D714" s="448"/>
      <c r="E714" s="448"/>
      <c r="F714" s="448"/>
      <c r="G714" s="448"/>
      <c r="H714" s="448"/>
      <c r="I714" s="448"/>
    </row>
    <row r="715" ht="15.75" customHeight="1">
      <c r="B715" s="448"/>
      <c r="C715" s="448"/>
      <c r="D715" s="448"/>
      <c r="E715" s="448"/>
      <c r="F715" s="448"/>
      <c r="G715" s="448"/>
      <c r="H715" s="448"/>
      <c r="I715" s="448"/>
    </row>
    <row r="716" ht="15.75" customHeight="1">
      <c r="B716" s="448"/>
      <c r="C716" s="448"/>
      <c r="D716" s="448"/>
      <c r="E716" s="448"/>
      <c r="F716" s="448"/>
      <c r="G716" s="448"/>
      <c r="H716" s="448"/>
      <c r="I716" s="448"/>
    </row>
    <row r="717" ht="15.75" customHeight="1">
      <c r="B717" s="448"/>
      <c r="C717" s="448"/>
      <c r="D717" s="448"/>
      <c r="E717" s="448"/>
      <c r="F717" s="448"/>
      <c r="G717" s="448"/>
      <c r="H717" s="448"/>
      <c r="I717" s="448"/>
    </row>
    <row r="718" ht="15.75" customHeight="1">
      <c r="B718" s="448"/>
      <c r="C718" s="448"/>
      <c r="D718" s="448"/>
      <c r="E718" s="448"/>
      <c r="F718" s="448"/>
      <c r="G718" s="448"/>
      <c r="H718" s="448"/>
      <c r="I718" s="448"/>
    </row>
    <row r="719" ht="15.75" customHeight="1">
      <c r="B719" s="448"/>
      <c r="C719" s="448"/>
      <c r="D719" s="448"/>
      <c r="E719" s="448"/>
      <c r="F719" s="448"/>
      <c r="G719" s="448"/>
      <c r="H719" s="448"/>
      <c r="I719" s="448"/>
    </row>
    <row r="720" ht="15.75" customHeight="1">
      <c r="B720" s="448"/>
      <c r="C720" s="448"/>
      <c r="D720" s="448"/>
      <c r="E720" s="448"/>
      <c r="F720" s="448"/>
      <c r="G720" s="448"/>
      <c r="H720" s="448"/>
      <c r="I720" s="448"/>
    </row>
    <row r="721" ht="15.75" customHeight="1">
      <c r="B721" s="448"/>
      <c r="C721" s="448"/>
      <c r="D721" s="448"/>
      <c r="E721" s="448"/>
      <c r="F721" s="448"/>
      <c r="G721" s="448"/>
      <c r="H721" s="448"/>
      <c r="I721" s="448"/>
    </row>
    <row r="722" ht="15.75" customHeight="1">
      <c r="B722" s="448"/>
      <c r="C722" s="448"/>
      <c r="D722" s="448"/>
      <c r="E722" s="448"/>
      <c r="F722" s="448"/>
      <c r="G722" s="448"/>
      <c r="H722" s="448"/>
      <c r="I722" s="448"/>
    </row>
    <row r="723" ht="15.75" customHeight="1">
      <c r="B723" s="448"/>
      <c r="C723" s="448"/>
      <c r="D723" s="448"/>
      <c r="E723" s="448"/>
      <c r="F723" s="448"/>
      <c r="G723" s="448"/>
      <c r="H723" s="448"/>
      <c r="I723" s="448"/>
    </row>
    <row r="724" ht="15.75" customHeight="1">
      <c r="B724" s="448"/>
      <c r="C724" s="448"/>
      <c r="D724" s="448"/>
      <c r="E724" s="448"/>
      <c r="F724" s="448"/>
      <c r="G724" s="448"/>
      <c r="H724" s="448"/>
      <c r="I724" s="448"/>
    </row>
    <row r="725" ht="15.75" customHeight="1">
      <c r="B725" s="448"/>
      <c r="C725" s="448"/>
      <c r="D725" s="448"/>
      <c r="E725" s="448"/>
      <c r="F725" s="448"/>
      <c r="G725" s="448"/>
      <c r="H725" s="448"/>
      <c r="I725" s="448"/>
    </row>
    <row r="726" ht="15.75" customHeight="1">
      <c r="B726" s="448"/>
      <c r="C726" s="448"/>
      <c r="D726" s="448"/>
      <c r="E726" s="448"/>
      <c r="F726" s="448"/>
      <c r="G726" s="448"/>
      <c r="H726" s="448"/>
      <c r="I726" s="448"/>
    </row>
    <row r="727" ht="15.75" customHeight="1">
      <c r="B727" s="448"/>
      <c r="C727" s="448"/>
      <c r="D727" s="448"/>
      <c r="E727" s="448"/>
      <c r="F727" s="448"/>
      <c r="G727" s="448"/>
      <c r="H727" s="448"/>
      <c r="I727" s="448"/>
    </row>
    <row r="728" ht="15.75" customHeight="1">
      <c r="B728" s="448"/>
      <c r="C728" s="448"/>
      <c r="D728" s="448"/>
      <c r="E728" s="448"/>
      <c r="F728" s="448"/>
      <c r="G728" s="448"/>
      <c r="H728" s="448"/>
      <c r="I728" s="448"/>
    </row>
    <row r="729" ht="15.75" customHeight="1">
      <c r="B729" s="448"/>
      <c r="C729" s="448"/>
      <c r="D729" s="448"/>
      <c r="E729" s="448"/>
      <c r="F729" s="448"/>
      <c r="G729" s="448"/>
      <c r="H729" s="448"/>
      <c r="I729" s="448"/>
    </row>
    <row r="730" ht="15.75" customHeight="1">
      <c r="B730" s="448"/>
      <c r="C730" s="448"/>
      <c r="D730" s="448"/>
      <c r="E730" s="448"/>
      <c r="F730" s="448"/>
      <c r="G730" s="448"/>
      <c r="H730" s="448"/>
      <c r="I730" s="448"/>
    </row>
    <row r="731" ht="15.75" customHeight="1">
      <c r="B731" s="448"/>
      <c r="C731" s="448"/>
      <c r="D731" s="448"/>
      <c r="E731" s="448"/>
      <c r="F731" s="448"/>
      <c r="G731" s="448"/>
      <c r="H731" s="448"/>
      <c r="I731" s="448"/>
    </row>
    <row r="732" ht="15.75" customHeight="1">
      <c r="B732" s="448"/>
      <c r="C732" s="448"/>
      <c r="D732" s="448"/>
      <c r="E732" s="448"/>
      <c r="F732" s="448"/>
      <c r="G732" s="448"/>
      <c r="H732" s="448"/>
      <c r="I732" s="448"/>
    </row>
    <row r="733" ht="15.75" customHeight="1">
      <c r="B733" s="448"/>
      <c r="C733" s="448"/>
      <c r="D733" s="448"/>
      <c r="E733" s="448"/>
      <c r="F733" s="448"/>
      <c r="G733" s="448"/>
      <c r="H733" s="448"/>
      <c r="I733" s="448"/>
    </row>
    <row r="734" ht="15.75" customHeight="1">
      <c r="B734" s="448"/>
      <c r="C734" s="448"/>
      <c r="D734" s="448"/>
      <c r="E734" s="448"/>
      <c r="F734" s="448"/>
      <c r="G734" s="448"/>
      <c r="H734" s="448"/>
      <c r="I734" s="448"/>
    </row>
    <row r="735" ht="15.75" customHeight="1">
      <c r="B735" s="448"/>
      <c r="C735" s="448"/>
      <c r="D735" s="448"/>
      <c r="E735" s="448"/>
      <c r="F735" s="448"/>
      <c r="G735" s="448"/>
      <c r="H735" s="448"/>
      <c r="I735" s="448"/>
    </row>
    <row r="736" ht="15.75" customHeight="1">
      <c r="B736" s="448"/>
      <c r="C736" s="448"/>
      <c r="D736" s="448"/>
      <c r="E736" s="448"/>
      <c r="F736" s="448"/>
      <c r="G736" s="448"/>
      <c r="H736" s="448"/>
      <c r="I736" s="448"/>
    </row>
    <row r="737" ht="15.75" customHeight="1">
      <c r="B737" s="448"/>
      <c r="C737" s="448"/>
      <c r="D737" s="448"/>
      <c r="E737" s="448"/>
      <c r="F737" s="448"/>
      <c r="G737" s="448"/>
      <c r="H737" s="448"/>
      <c r="I737" s="448"/>
    </row>
    <row r="738" ht="15.75" customHeight="1">
      <c r="B738" s="448"/>
      <c r="C738" s="448"/>
      <c r="D738" s="448"/>
      <c r="E738" s="448"/>
      <c r="F738" s="448"/>
      <c r="G738" s="448"/>
      <c r="H738" s="448"/>
      <c r="I738" s="448"/>
    </row>
    <row r="739" ht="15.75" customHeight="1">
      <c r="B739" s="448"/>
      <c r="C739" s="448"/>
      <c r="D739" s="448"/>
      <c r="E739" s="448"/>
      <c r="F739" s="448"/>
      <c r="G739" s="448"/>
      <c r="H739" s="448"/>
      <c r="I739" s="448"/>
    </row>
    <row r="740" ht="15.75" customHeight="1">
      <c r="B740" s="448"/>
      <c r="C740" s="448"/>
      <c r="D740" s="448"/>
      <c r="E740" s="448"/>
      <c r="F740" s="448"/>
      <c r="G740" s="448"/>
      <c r="H740" s="448"/>
      <c r="I740" s="448"/>
    </row>
    <row r="741" ht="15.75" customHeight="1">
      <c r="B741" s="448"/>
      <c r="C741" s="448"/>
      <c r="D741" s="448"/>
      <c r="E741" s="448"/>
      <c r="F741" s="448"/>
      <c r="G741" s="448"/>
      <c r="H741" s="448"/>
      <c r="I741" s="448"/>
    </row>
    <row r="742" ht="15.75" customHeight="1">
      <c r="B742" s="448"/>
      <c r="C742" s="448"/>
      <c r="D742" s="448"/>
      <c r="E742" s="448"/>
      <c r="F742" s="448"/>
      <c r="G742" s="448"/>
      <c r="H742" s="448"/>
      <c r="I742" s="448"/>
    </row>
    <row r="743" ht="15.75" customHeight="1">
      <c r="B743" s="448"/>
      <c r="C743" s="448"/>
      <c r="D743" s="448"/>
      <c r="E743" s="448"/>
      <c r="F743" s="448"/>
      <c r="G743" s="448"/>
      <c r="H743" s="448"/>
      <c r="I743" s="448"/>
    </row>
    <row r="744" ht="15.75" customHeight="1">
      <c r="B744" s="448"/>
      <c r="C744" s="448"/>
      <c r="D744" s="448"/>
      <c r="E744" s="448"/>
      <c r="F744" s="448"/>
      <c r="G744" s="448"/>
      <c r="H744" s="448"/>
      <c r="I744" s="448"/>
    </row>
    <row r="745" ht="15.75" customHeight="1">
      <c r="B745" s="448"/>
      <c r="C745" s="448"/>
      <c r="D745" s="448"/>
      <c r="E745" s="448"/>
      <c r="F745" s="448"/>
      <c r="G745" s="448"/>
      <c r="H745" s="448"/>
      <c r="I745" s="448"/>
    </row>
    <row r="746" ht="15.75" customHeight="1">
      <c r="B746" s="448"/>
      <c r="C746" s="448"/>
      <c r="D746" s="448"/>
      <c r="E746" s="448"/>
      <c r="F746" s="448"/>
      <c r="G746" s="448"/>
      <c r="H746" s="448"/>
      <c r="I746" s="448"/>
    </row>
    <row r="747" ht="15.75" customHeight="1">
      <c r="B747" s="448"/>
      <c r="C747" s="448"/>
      <c r="D747" s="448"/>
      <c r="E747" s="448"/>
      <c r="F747" s="448"/>
      <c r="G747" s="448"/>
      <c r="H747" s="448"/>
      <c r="I747" s="448"/>
    </row>
    <row r="748" ht="15.75" customHeight="1">
      <c r="B748" s="448"/>
      <c r="C748" s="448"/>
      <c r="D748" s="448"/>
      <c r="E748" s="448"/>
      <c r="F748" s="448"/>
      <c r="G748" s="448"/>
      <c r="H748" s="448"/>
      <c r="I748" s="448"/>
    </row>
    <row r="749" ht="15.75" customHeight="1">
      <c r="B749" s="448"/>
      <c r="C749" s="448"/>
      <c r="D749" s="448"/>
      <c r="E749" s="448"/>
      <c r="F749" s="448"/>
      <c r="G749" s="448"/>
      <c r="H749" s="448"/>
      <c r="I749" s="448"/>
    </row>
    <row r="750" ht="15.75" customHeight="1">
      <c r="B750" s="448"/>
      <c r="C750" s="448"/>
      <c r="D750" s="448"/>
      <c r="E750" s="448"/>
      <c r="F750" s="448"/>
      <c r="G750" s="448"/>
      <c r="H750" s="448"/>
      <c r="I750" s="448"/>
    </row>
    <row r="751" ht="15.75" customHeight="1">
      <c r="B751" s="448"/>
      <c r="C751" s="448"/>
      <c r="D751" s="448"/>
      <c r="E751" s="448"/>
      <c r="F751" s="448"/>
      <c r="G751" s="448"/>
      <c r="H751" s="448"/>
      <c r="I751" s="448"/>
    </row>
    <row r="752" ht="15.75" customHeight="1">
      <c r="B752" s="448"/>
      <c r="C752" s="448"/>
      <c r="D752" s="448"/>
      <c r="E752" s="448"/>
      <c r="F752" s="448"/>
      <c r="G752" s="448"/>
      <c r="H752" s="448"/>
      <c r="I752" s="448"/>
    </row>
    <row r="753" ht="15.75" customHeight="1">
      <c r="B753" s="448"/>
      <c r="C753" s="448"/>
      <c r="D753" s="448"/>
      <c r="E753" s="448"/>
      <c r="F753" s="448"/>
      <c r="G753" s="448"/>
      <c r="H753" s="448"/>
      <c r="I753" s="448"/>
    </row>
    <row r="754" ht="15.75" customHeight="1">
      <c r="B754" s="448"/>
      <c r="C754" s="448"/>
      <c r="D754" s="448"/>
      <c r="E754" s="448"/>
      <c r="F754" s="448"/>
      <c r="G754" s="448"/>
      <c r="H754" s="448"/>
      <c r="I754" s="448"/>
    </row>
    <row r="755" ht="15.75" customHeight="1">
      <c r="B755" s="448"/>
      <c r="C755" s="448"/>
      <c r="D755" s="448"/>
      <c r="E755" s="448"/>
      <c r="F755" s="448"/>
      <c r="G755" s="448"/>
      <c r="H755" s="448"/>
      <c r="I755" s="448"/>
    </row>
    <row r="756" ht="15.75" customHeight="1">
      <c r="B756" s="448"/>
      <c r="C756" s="448"/>
      <c r="D756" s="448"/>
      <c r="E756" s="448"/>
      <c r="F756" s="448"/>
      <c r="G756" s="448"/>
      <c r="H756" s="448"/>
      <c r="I756" s="448"/>
    </row>
    <row r="757" ht="15.75" customHeight="1">
      <c r="B757" s="448"/>
      <c r="C757" s="448"/>
      <c r="D757" s="448"/>
      <c r="E757" s="448"/>
      <c r="F757" s="448"/>
      <c r="G757" s="448"/>
      <c r="H757" s="448"/>
      <c r="I757" s="448"/>
    </row>
    <row r="758" ht="15.75" customHeight="1">
      <c r="B758" s="448"/>
      <c r="C758" s="448"/>
      <c r="D758" s="448"/>
      <c r="E758" s="448"/>
      <c r="F758" s="448"/>
      <c r="G758" s="448"/>
      <c r="H758" s="448"/>
      <c r="I758" s="448"/>
    </row>
    <row r="759" ht="15.75" customHeight="1">
      <c r="B759" s="448"/>
      <c r="C759" s="448"/>
      <c r="D759" s="448"/>
      <c r="E759" s="448"/>
      <c r="F759" s="448"/>
      <c r="G759" s="448"/>
      <c r="H759" s="448"/>
      <c r="I759" s="448"/>
    </row>
    <row r="760" ht="15.75" customHeight="1">
      <c r="B760" s="448"/>
      <c r="C760" s="448"/>
      <c r="D760" s="448"/>
      <c r="E760" s="448"/>
      <c r="F760" s="448"/>
      <c r="G760" s="448"/>
      <c r="H760" s="448"/>
      <c r="I760" s="448"/>
    </row>
    <row r="761" ht="15.75" customHeight="1">
      <c r="B761" s="448"/>
      <c r="C761" s="448"/>
      <c r="D761" s="448"/>
      <c r="E761" s="448"/>
      <c r="F761" s="448"/>
      <c r="G761" s="448"/>
      <c r="H761" s="448"/>
      <c r="I761" s="448"/>
    </row>
    <row r="762" ht="15.75" customHeight="1">
      <c r="B762" s="448"/>
      <c r="C762" s="448"/>
      <c r="D762" s="448"/>
      <c r="E762" s="448"/>
      <c r="F762" s="448"/>
      <c r="G762" s="448"/>
      <c r="H762" s="448"/>
      <c r="I762" s="448"/>
    </row>
    <row r="763" ht="15.75" customHeight="1">
      <c r="B763" s="448"/>
      <c r="C763" s="448"/>
      <c r="D763" s="448"/>
      <c r="E763" s="448"/>
      <c r="F763" s="448"/>
      <c r="G763" s="448"/>
      <c r="H763" s="448"/>
      <c r="I763" s="448"/>
    </row>
    <row r="764" ht="15.75" customHeight="1">
      <c r="B764" s="448"/>
      <c r="C764" s="448"/>
      <c r="D764" s="448"/>
      <c r="E764" s="448"/>
      <c r="F764" s="448"/>
      <c r="G764" s="448"/>
      <c r="H764" s="448"/>
      <c r="I764" s="448"/>
    </row>
    <row r="765" ht="15.75" customHeight="1">
      <c r="B765" s="448"/>
      <c r="C765" s="448"/>
      <c r="D765" s="448"/>
      <c r="E765" s="448"/>
      <c r="F765" s="448"/>
      <c r="G765" s="448"/>
      <c r="H765" s="448"/>
      <c r="I765" s="448"/>
    </row>
    <row r="766" ht="15.75" customHeight="1">
      <c r="B766" s="448"/>
      <c r="C766" s="448"/>
      <c r="D766" s="448"/>
      <c r="E766" s="448"/>
      <c r="F766" s="448"/>
      <c r="G766" s="448"/>
      <c r="H766" s="448"/>
      <c r="I766" s="448"/>
    </row>
    <row r="767" ht="15.75" customHeight="1">
      <c r="B767" s="448"/>
      <c r="C767" s="448"/>
      <c r="D767" s="448"/>
      <c r="E767" s="448"/>
      <c r="F767" s="448"/>
      <c r="G767" s="448"/>
      <c r="H767" s="448"/>
      <c r="I767" s="448"/>
    </row>
    <row r="768" ht="15.75" customHeight="1">
      <c r="B768" s="448"/>
      <c r="C768" s="448"/>
      <c r="D768" s="448"/>
      <c r="E768" s="448"/>
      <c r="F768" s="448"/>
      <c r="G768" s="448"/>
      <c r="H768" s="448"/>
      <c r="I768" s="448"/>
    </row>
    <row r="769" ht="15.75" customHeight="1">
      <c r="B769" s="448"/>
      <c r="C769" s="448"/>
      <c r="D769" s="448"/>
      <c r="E769" s="448"/>
      <c r="F769" s="448"/>
      <c r="G769" s="448"/>
      <c r="H769" s="448"/>
      <c r="I769" s="448"/>
    </row>
    <row r="770" ht="15.75" customHeight="1">
      <c r="B770" s="448"/>
      <c r="C770" s="448"/>
      <c r="D770" s="448"/>
      <c r="E770" s="448"/>
      <c r="F770" s="448"/>
      <c r="G770" s="448"/>
      <c r="H770" s="448"/>
      <c r="I770" s="448"/>
    </row>
    <row r="771" ht="15.75" customHeight="1">
      <c r="B771" s="448"/>
      <c r="C771" s="448"/>
      <c r="D771" s="448"/>
      <c r="E771" s="448"/>
      <c r="F771" s="448"/>
      <c r="G771" s="448"/>
      <c r="H771" s="448"/>
      <c r="I771" s="448"/>
    </row>
    <row r="772" ht="15.75" customHeight="1">
      <c r="B772" s="448"/>
      <c r="C772" s="448"/>
      <c r="D772" s="448"/>
      <c r="E772" s="448"/>
      <c r="F772" s="448"/>
      <c r="G772" s="448"/>
      <c r="H772" s="448"/>
      <c r="I772" s="448"/>
    </row>
    <row r="773" ht="15.75" customHeight="1">
      <c r="B773" s="448"/>
      <c r="C773" s="448"/>
      <c r="D773" s="448"/>
      <c r="E773" s="448"/>
      <c r="F773" s="448"/>
      <c r="G773" s="448"/>
      <c r="H773" s="448"/>
      <c r="I773" s="448"/>
    </row>
    <row r="774" ht="15.75" customHeight="1">
      <c r="B774" s="448"/>
      <c r="C774" s="448"/>
      <c r="D774" s="448"/>
      <c r="E774" s="448"/>
      <c r="F774" s="448"/>
      <c r="G774" s="448"/>
      <c r="H774" s="448"/>
      <c r="I774" s="448"/>
    </row>
    <row r="775" ht="15.75" customHeight="1">
      <c r="B775" s="448"/>
      <c r="C775" s="448"/>
      <c r="D775" s="448"/>
      <c r="E775" s="448"/>
      <c r="F775" s="448"/>
      <c r="G775" s="448"/>
      <c r="H775" s="448"/>
      <c r="I775" s="448"/>
    </row>
    <row r="776" ht="15.75" customHeight="1">
      <c r="B776" s="448"/>
      <c r="C776" s="448"/>
      <c r="D776" s="448"/>
      <c r="E776" s="448"/>
      <c r="F776" s="448"/>
      <c r="G776" s="448"/>
      <c r="H776" s="448"/>
      <c r="I776" s="448"/>
    </row>
    <row r="777" ht="15.75" customHeight="1">
      <c r="B777" s="448"/>
      <c r="C777" s="448"/>
      <c r="D777" s="448"/>
      <c r="E777" s="448"/>
      <c r="F777" s="448"/>
      <c r="G777" s="448"/>
      <c r="H777" s="448"/>
      <c r="I777" s="448"/>
    </row>
    <row r="778" ht="15.75" customHeight="1">
      <c r="B778" s="448"/>
      <c r="C778" s="448"/>
      <c r="D778" s="448"/>
      <c r="E778" s="448"/>
      <c r="F778" s="448"/>
      <c r="G778" s="448"/>
      <c r="H778" s="448"/>
      <c r="I778" s="448"/>
    </row>
    <row r="779" ht="15.75" customHeight="1">
      <c r="B779" s="448"/>
      <c r="C779" s="448"/>
      <c r="D779" s="448"/>
      <c r="E779" s="448"/>
      <c r="F779" s="448"/>
      <c r="G779" s="448"/>
      <c r="H779" s="448"/>
      <c r="I779" s="448"/>
    </row>
    <row r="780" ht="15.75" customHeight="1">
      <c r="B780" s="448"/>
      <c r="C780" s="448"/>
      <c r="D780" s="448"/>
      <c r="E780" s="448"/>
      <c r="F780" s="448"/>
      <c r="G780" s="448"/>
      <c r="H780" s="448"/>
      <c r="I780" s="448"/>
    </row>
    <row r="781" ht="15.75" customHeight="1">
      <c r="B781" s="448"/>
      <c r="C781" s="448"/>
      <c r="D781" s="448"/>
      <c r="E781" s="448"/>
      <c r="F781" s="448"/>
      <c r="G781" s="448"/>
      <c r="H781" s="448"/>
      <c r="I781" s="448"/>
    </row>
    <row r="782" ht="15.75" customHeight="1">
      <c r="B782" s="448"/>
      <c r="C782" s="448"/>
      <c r="D782" s="448"/>
      <c r="E782" s="448"/>
      <c r="F782" s="448"/>
      <c r="G782" s="448"/>
      <c r="H782" s="448"/>
      <c r="I782" s="448"/>
    </row>
    <row r="783" ht="15.75" customHeight="1">
      <c r="B783" s="448"/>
      <c r="C783" s="448"/>
      <c r="D783" s="448"/>
      <c r="E783" s="448"/>
      <c r="F783" s="448"/>
      <c r="G783" s="448"/>
      <c r="H783" s="448"/>
      <c r="I783" s="448"/>
    </row>
    <row r="784" ht="15.75" customHeight="1">
      <c r="B784" s="448"/>
      <c r="C784" s="448"/>
      <c r="D784" s="448"/>
      <c r="E784" s="448"/>
      <c r="F784" s="448"/>
      <c r="G784" s="448"/>
      <c r="H784" s="448"/>
      <c r="I784" s="448"/>
    </row>
    <row r="785" ht="15.75" customHeight="1">
      <c r="B785" s="448"/>
      <c r="C785" s="448"/>
      <c r="D785" s="448"/>
      <c r="E785" s="448"/>
      <c r="F785" s="448"/>
      <c r="G785" s="448"/>
      <c r="H785" s="448"/>
      <c r="I785" s="448"/>
    </row>
    <row r="786" ht="15.75" customHeight="1">
      <c r="B786" s="448"/>
      <c r="C786" s="448"/>
      <c r="D786" s="448"/>
      <c r="E786" s="448"/>
      <c r="F786" s="448"/>
      <c r="G786" s="448"/>
      <c r="H786" s="448"/>
      <c r="I786" s="448"/>
    </row>
    <row r="787" ht="15.75" customHeight="1">
      <c r="B787" s="448"/>
      <c r="C787" s="448"/>
      <c r="D787" s="448"/>
      <c r="E787" s="448"/>
      <c r="F787" s="448"/>
      <c r="G787" s="448"/>
      <c r="H787" s="448"/>
      <c r="I787" s="448"/>
    </row>
    <row r="788" ht="15.75" customHeight="1">
      <c r="B788" s="448"/>
      <c r="C788" s="448"/>
      <c r="D788" s="448"/>
      <c r="E788" s="448"/>
      <c r="F788" s="448"/>
      <c r="G788" s="448"/>
      <c r="H788" s="448"/>
      <c r="I788" s="448"/>
    </row>
    <row r="789" ht="15.75" customHeight="1">
      <c r="B789" s="448"/>
      <c r="C789" s="448"/>
      <c r="D789" s="448"/>
      <c r="E789" s="448"/>
      <c r="F789" s="448"/>
      <c r="G789" s="448"/>
      <c r="H789" s="448"/>
      <c r="I789" s="448"/>
    </row>
    <row r="790" ht="15.75" customHeight="1">
      <c r="B790" s="448"/>
      <c r="C790" s="448"/>
      <c r="D790" s="448"/>
      <c r="E790" s="448"/>
      <c r="F790" s="448"/>
      <c r="G790" s="448"/>
      <c r="H790" s="448"/>
      <c r="I790" s="448"/>
    </row>
    <row r="791" ht="15.75" customHeight="1">
      <c r="B791" s="448"/>
      <c r="C791" s="448"/>
      <c r="D791" s="448"/>
      <c r="E791" s="448"/>
      <c r="F791" s="448"/>
      <c r="G791" s="448"/>
      <c r="H791" s="448"/>
      <c r="I791" s="448"/>
    </row>
    <row r="792" ht="15.75" customHeight="1">
      <c r="B792" s="448"/>
      <c r="C792" s="448"/>
      <c r="D792" s="448"/>
      <c r="E792" s="448"/>
      <c r="F792" s="448"/>
      <c r="G792" s="448"/>
      <c r="H792" s="448"/>
      <c r="I792" s="448"/>
    </row>
    <row r="793" ht="15.75" customHeight="1">
      <c r="B793" s="448"/>
      <c r="C793" s="448"/>
      <c r="D793" s="448"/>
      <c r="E793" s="448"/>
      <c r="F793" s="448"/>
      <c r="G793" s="448"/>
      <c r="H793" s="448"/>
      <c r="I793" s="448"/>
    </row>
    <row r="794" ht="15.75" customHeight="1">
      <c r="B794" s="448"/>
      <c r="C794" s="448"/>
      <c r="D794" s="448"/>
      <c r="E794" s="448"/>
      <c r="F794" s="448"/>
      <c r="G794" s="448"/>
      <c r="H794" s="448"/>
      <c r="I794" s="448"/>
    </row>
    <row r="795" ht="15.75" customHeight="1">
      <c r="B795" s="448"/>
      <c r="C795" s="448"/>
      <c r="D795" s="448"/>
      <c r="E795" s="448"/>
      <c r="F795" s="448"/>
      <c r="G795" s="448"/>
      <c r="H795" s="448"/>
      <c r="I795" s="448"/>
    </row>
    <row r="796" ht="15.75" customHeight="1">
      <c r="B796" s="448"/>
      <c r="C796" s="448"/>
      <c r="D796" s="448"/>
      <c r="E796" s="448"/>
      <c r="F796" s="448"/>
      <c r="G796" s="448"/>
      <c r="H796" s="448"/>
      <c r="I796" s="448"/>
    </row>
    <row r="797" ht="15.75" customHeight="1">
      <c r="B797" s="448"/>
      <c r="C797" s="448"/>
      <c r="D797" s="448"/>
      <c r="E797" s="448"/>
      <c r="F797" s="448"/>
      <c r="G797" s="448"/>
      <c r="H797" s="448"/>
      <c r="I797" s="448"/>
    </row>
    <row r="798" ht="15.75" customHeight="1">
      <c r="B798" s="448"/>
      <c r="C798" s="448"/>
      <c r="D798" s="448"/>
      <c r="E798" s="448"/>
      <c r="F798" s="448"/>
      <c r="G798" s="448"/>
      <c r="H798" s="448"/>
      <c r="I798" s="448"/>
    </row>
    <row r="799" ht="15.75" customHeight="1">
      <c r="B799" s="448"/>
      <c r="C799" s="448"/>
      <c r="D799" s="448"/>
      <c r="E799" s="448"/>
      <c r="F799" s="448"/>
      <c r="G799" s="448"/>
      <c r="H799" s="448"/>
      <c r="I799" s="448"/>
    </row>
    <row r="800" ht="15.75" customHeight="1">
      <c r="B800" s="448"/>
      <c r="C800" s="448"/>
      <c r="D800" s="448"/>
      <c r="E800" s="448"/>
      <c r="F800" s="448"/>
      <c r="G800" s="448"/>
      <c r="H800" s="448"/>
      <c r="I800" s="448"/>
    </row>
    <row r="801" ht="15.75" customHeight="1">
      <c r="B801" s="448"/>
      <c r="C801" s="448"/>
      <c r="D801" s="448"/>
      <c r="E801" s="448"/>
      <c r="F801" s="448"/>
      <c r="G801" s="448"/>
      <c r="H801" s="448"/>
      <c r="I801" s="448"/>
    </row>
    <row r="802" ht="15.75" customHeight="1">
      <c r="B802" s="448"/>
      <c r="C802" s="448"/>
      <c r="D802" s="448"/>
      <c r="E802" s="448"/>
      <c r="F802" s="448"/>
      <c r="G802" s="448"/>
      <c r="H802" s="448"/>
      <c r="I802" s="448"/>
    </row>
    <row r="803" ht="15.75" customHeight="1">
      <c r="B803" s="448"/>
      <c r="C803" s="448"/>
      <c r="D803" s="448"/>
      <c r="E803" s="448"/>
      <c r="F803" s="448"/>
      <c r="G803" s="448"/>
      <c r="H803" s="448"/>
      <c r="I803" s="448"/>
    </row>
    <row r="804" ht="15.75" customHeight="1">
      <c r="B804" s="448"/>
      <c r="C804" s="448"/>
      <c r="D804" s="448"/>
      <c r="E804" s="448"/>
      <c r="F804" s="448"/>
      <c r="G804" s="448"/>
      <c r="H804" s="448"/>
      <c r="I804" s="448"/>
    </row>
    <row r="805" ht="15.75" customHeight="1">
      <c r="B805" s="448"/>
      <c r="C805" s="448"/>
      <c r="D805" s="448"/>
      <c r="E805" s="448"/>
      <c r="F805" s="448"/>
      <c r="G805" s="448"/>
      <c r="H805" s="448"/>
      <c r="I805" s="448"/>
    </row>
    <row r="806" ht="15.75" customHeight="1">
      <c r="B806" s="448"/>
      <c r="C806" s="448"/>
      <c r="D806" s="448"/>
      <c r="E806" s="448"/>
      <c r="F806" s="448"/>
      <c r="G806" s="448"/>
      <c r="H806" s="448"/>
      <c r="I806" s="448"/>
    </row>
    <row r="807" ht="15.75" customHeight="1">
      <c r="B807" s="448"/>
      <c r="C807" s="448"/>
      <c r="D807" s="448"/>
      <c r="E807" s="448"/>
      <c r="F807" s="448"/>
      <c r="G807" s="448"/>
      <c r="H807" s="448"/>
      <c r="I807" s="448"/>
    </row>
    <row r="808" ht="15.75" customHeight="1">
      <c r="B808" s="448"/>
      <c r="C808" s="448"/>
      <c r="D808" s="448"/>
      <c r="E808" s="448"/>
      <c r="F808" s="448"/>
      <c r="G808" s="448"/>
      <c r="H808" s="448"/>
      <c r="I808" s="448"/>
    </row>
    <row r="809" ht="15.75" customHeight="1">
      <c r="B809" s="448"/>
      <c r="C809" s="448"/>
      <c r="D809" s="448"/>
      <c r="E809" s="448"/>
      <c r="F809" s="448"/>
      <c r="G809" s="448"/>
      <c r="H809" s="448"/>
      <c r="I809" s="448"/>
    </row>
    <row r="810" ht="15.75" customHeight="1">
      <c r="B810" s="448"/>
      <c r="C810" s="448"/>
      <c r="D810" s="448"/>
      <c r="E810" s="448"/>
      <c r="F810" s="448"/>
      <c r="G810" s="448"/>
      <c r="H810" s="448"/>
      <c r="I810" s="448"/>
    </row>
    <row r="811" ht="15.75" customHeight="1">
      <c r="B811" s="448"/>
      <c r="C811" s="448"/>
      <c r="D811" s="448"/>
      <c r="E811" s="448"/>
      <c r="F811" s="448"/>
      <c r="G811" s="448"/>
      <c r="H811" s="448"/>
      <c r="I811" s="448"/>
    </row>
    <row r="812" ht="15.75" customHeight="1">
      <c r="B812" s="448"/>
      <c r="C812" s="448"/>
      <c r="D812" s="448"/>
      <c r="E812" s="448"/>
      <c r="F812" s="448"/>
      <c r="G812" s="448"/>
      <c r="H812" s="448"/>
      <c r="I812" s="448"/>
    </row>
    <row r="813" ht="15.75" customHeight="1">
      <c r="B813" s="448"/>
      <c r="C813" s="448"/>
      <c r="D813" s="448"/>
      <c r="E813" s="448"/>
      <c r="F813" s="448"/>
      <c r="G813" s="448"/>
      <c r="H813" s="448"/>
      <c r="I813" s="448"/>
    </row>
    <row r="814" ht="15.75" customHeight="1">
      <c r="B814" s="448"/>
      <c r="C814" s="448"/>
      <c r="D814" s="448"/>
      <c r="E814" s="448"/>
      <c r="F814" s="448"/>
      <c r="G814" s="448"/>
      <c r="H814" s="448"/>
      <c r="I814" s="448"/>
    </row>
    <row r="815" ht="15.75" customHeight="1">
      <c r="B815" s="448"/>
      <c r="C815" s="448"/>
      <c r="D815" s="448"/>
      <c r="E815" s="448"/>
      <c r="F815" s="448"/>
      <c r="G815" s="448"/>
      <c r="H815" s="448"/>
      <c r="I815" s="448"/>
    </row>
    <row r="816" ht="15.75" customHeight="1">
      <c r="B816" s="448"/>
      <c r="C816" s="448"/>
      <c r="D816" s="448"/>
      <c r="E816" s="448"/>
      <c r="F816" s="448"/>
      <c r="G816" s="448"/>
      <c r="H816" s="448"/>
      <c r="I816" s="448"/>
    </row>
    <row r="817" ht="15.75" customHeight="1">
      <c r="B817" s="448"/>
      <c r="C817" s="448"/>
      <c r="D817" s="448"/>
      <c r="E817" s="448"/>
      <c r="F817" s="448"/>
      <c r="G817" s="448"/>
      <c r="H817" s="448"/>
      <c r="I817" s="448"/>
    </row>
    <row r="818" ht="15.75" customHeight="1">
      <c r="B818" s="448"/>
      <c r="C818" s="448"/>
      <c r="D818" s="448"/>
      <c r="E818" s="448"/>
      <c r="F818" s="448"/>
      <c r="G818" s="448"/>
      <c r="H818" s="448"/>
      <c r="I818" s="448"/>
    </row>
    <row r="819" ht="15.75" customHeight="1">
      <c r="B819" s="448"/>
      <c r="C819" s="448"/>
      <c r="D819" s="448"/>
      <c r="E819" s="448"/>
      <c r="F819" s="448"/>
      <c r="G819" s="448"/>
      <c r="H819" s="448"/>
      <c r="I819" s="448"/>
    </row>
    <row r="820" ht="15.75" customHeight="1">
      <c r="B820" s="448"/>
      <c r="C820" s="448"/>
      <c r="D820" s="448"/>
      <c r="E820" s="448"/>
      <c r="F820" s="448"/>
      <c r="G820" s="448"/>
      <c r="H820" s="448"/>
      <c r="I820" s="448"/>
    </row>
    <row r="821" ht="15.75" customHeight="1">
      <c r="B821" s="448"/>
      <c r="C821" s="448"/>
      <c r="D821" s="448"/>
      <c r="E821" s="448"/>
      <c r="F821" s="448"/>
      <c r="G821" s="448"/>
      <c r="H821" s="448"/>
      <c r="I821" s="448"/>
    </row>
    <row r="822" ht="15.75" customHeight="1">
      <c r="B822" s="448"/>
      <c r="C822" s="448"/>
      <c r="D822" s="448"/>
      <c r="E822" s="448"/>
      <c r="F822" s="448"/>
      <c r="G822" s="448"/>
      <c r="H822" s="448"/>
      <c r="I822" s="448"/>
    </row>
    <row r="823" ht="15.75" customHeight="1">
      <c r="B823" s="448"/>
      <c r="C823" s="448"/>
      <c r="D823" s="448"/>
      <c r="E823" s="448"/>
      <c r="F823" s="448"/>
      <c r="G823" s="448"/>
      <c r="H823" s="448"/>
      <c r="I823" s="448"/>
    </row>
    <row r="824" ht="15.75" customHeight="1">
      <c r="B824" s="448"/>
      <c r="C824" s="448"/>
      <c r="D824" s="448"/>
      <c r="E824" s="448"/>
      <c r="F824" s="448"/>
      <c r="G824" s="448"/>
      <c r="H824" s="448"/>
      <c r="I824" s="448"/>
    </row>
    <row r="825" ht="15.75" customHeight="1">
      <c r="B825" s="448"/>
      <c r="C825" s="448"/>
      <c r="D825" s="448"/>
      <c r="E825" s="448"/>
      <c r="F825" s="448"/>
      <c r="G825" s="448"/>
      <c r="H825" s="448"/>
      <c r="I825" s="448"/>
    </row>
    <row r="826" ht="15.75" customHeight="1">
      <c r="B826" s="448"/>
      <c r="C826" s="448"/>
      <c r="D826" s="448"/>
      <c r="E826" s="448"/>
      <c r="F826" s="448"/>
      <c r="G826" s="448"/>
      <c r="H826" s="448"/>
      <c r="I826" s="448"/>
    </row>
    <row r="827" ht="15.75" customHeight="1">
      <c r="B827" s="448"/>
      <c r="C827" s="448"/>
      <c r="D827" s="448"/>
      <c r="E827" s="448"/>
      <c r="F827" s="448"/>
      <c r="G827" s="448"/>
      <c r="H827" s="448"/>
      <c r="I827" s="448"/>
    </row>
    <row r="828" ht="15.75" customHeight="1">
      <c r="B828" s="448"/>
      <c r="C828" s="448"/>
      <c r="D828" s="448"/>
      <c r="E828" s="448"/>
      <c r="F828" s="448"/>
      <c r="G828" s="448"/>
      <c r="H828" s="448"/>
      <c r="I828" s="448"/>
    </row>
    <row r="829" ht="15.75" customHeight="1">
      <c r="B829" s="448"/>
      <c r="C829" s="448"/>
      <c r="D829" s="448"/>
      <c r="E829" s="448"/>
      <c r="F829" s="448"/>
      <c r="G829" s="448"/>
      <c r="H829" s="448"/>
      <c r="I829" s="448"/>
    </row>
    <row r="830" ht="15.75" customHeight="1">
      <c r="B830" s="448"/>
      <c r="C830" s="448"/>
      <c r="D830" s="448"/>
      <c r="E830" s="448"/>
      <c r="F830" s="448"/>
      <c r="G830" s="448"/>
      <c r="H830" s="448"/>
      <c r="I830" s="448"/>
    </row>
    <row r="831" ht="15.75" customHeight="1">
      <c r="B831" s="448"/>
      <c r="C831" s="448"/>
      <c r="D831" s="448"/>
      <c r="E831" s="448"/>
      <c r="F831" s="448"/>
      <c r="G831" s="448"/>
      <c r="H831" s="448"/>
      <c r="I831" s="448"/>
    </row>
    <row r="832" ht="15.75" customHeight="1">
      <c r="B832" s="448"/>
      <c r="C832" s="448"/>
      <c r="D832" s="448"/>
      <c r="E832" s="448"/>
      <c r="F832" s="448"/>
      <c r="G832" s="448"/>
      <c r="H832" s="448"/>
      <c r="I832" s="448"/>
    </row>
    <row r="833" ht="15.75" customHeight="1">
      <c r="B833" s="448"/>
      <c r="C833" s="448"/>
      <c r="D833" s="448"/>
      <c r="E833" s="448"/>
      <c r="F833" s="448"/>
      <c r="G833" s="448"/>
      <c r="H833" s="448"/>
      <c r="I833" s="448"/>
    </row>
    <row r="834" ht="15.75" customHeight="1">
      <c r="B834" s="448"/>
      <c r="C834" s="448"/>
      <c r="D834" s="448"/>
      <c r="E834" s="448"/>
      <c r="F834" s="448"/>
      <c r="G834" s="448"/>
      <c r="H834" s="448"/>
      <c r="I834" s="448"/>
    </row>
    <row r="835" ht="15.75" customHeight="1">
      <c r="B835" s="448"/>
      <c r="C835" s="448"/>
      <c r="D835" s="448"/>
      <c r="E835" s="448"/>
      <c r="F835" s="448"/>
      <c r="G835" s="448"/>
      <c r="H835" s="448"/>
      <c r="I835" s="448"/>
    </row>
    <row r="836" ht="15.75" customHeight="1">
      <c r="B836" s="448"/>
      <c r="C836" s="448"/>
      <c r="D836" s="448"/>
      <c r="E836" s="448"/>
      <c r="F836" s="448"/>
      <c r="G836" s="448"/>
      <c r="H836" s="448"/>
      <c r="I836" s="448"/>
    </row>
    <row r="837" ht="15.75" customHeight="1">
      <c r="B837" s="448"/>
      <c r="C837" s="448"/>
      <c r="D837" s="448"/>
      <c r="E837" s="448"/>
      <c r="F837" s="448"/>
      <c r="G837" s="448"/>
      <c r="H837" s="448"/>
      <c r="I837" s="448"/>
    </row>
    <row r="838" ht="15.75" customHeight="1">
      <c r="B838" s="448"/>
      <c r="C838" s="448"/>
      <c r="D838" s="448"/>
      <c r="E838" s="448"/>
      <c r="F838" s="448"/>
      <c r="G838" s="448"/>
      <c r="H838" s="448"/>
      <c r="I838" s="448"/>
    </row>
    <row r="839" ht="15.75" customHeight="1">
      <c r="B839" s="448"/>
      <c r="C839" s="448"/>
      <c r="D839" s="448"/>
      <c r="E839" s="448"/>
      <c r="F839" s="448"/>
      <c r="G839" s="448"/>
      <c r="H839" s="448"/>
      <c r="I839" s="448"/>
    </row>
    <row r="840" ht="15.75" customHeight="1">
      <c r="B840" s="448"/>
      <c r="C840" s="448"/>
      <c r="D840" s="448"/>
      <c r="E840" s="448"/>
      <c r="F840" s="448"/>
      <c r="G840" s="448"/>
      <c r="H840" s="448"/>
      <c r="I840" s="448"/>
    </row>
    <row r="841" ht="15.75" customHeight="1">
      <c r="B841" s="448"/>
      <c r="C841" s="448"/>
      <c r="D841" s="448"/>
      <c r="E841" s="448"/>
      <c r="F841" s="448"/>
      <c r="G841" s="448"/>
      <c r="H841" s="448"/>
      <c r="I841" s="448"/>
    </row>
    <row r="842" ht="15.75" customHeight="1">
      <c r="B842" s="448"/>
      <c r="C842" s="448"/>
      <c r="D842" s="448"/>
      <c r="E842" s="448"/>
      <c r="F842" s="448"/>
      <c r="G842" s="448"/>
      <c r="H842" s="448"/>
      <c r="I842" s="448"/>
    </row>
    <row r="843" ht="15.75" customHeight="1">
      <c r="B843" s="448"/>
      <c r="C843" s="448"/>
      <c r="D843" s="448"/>
      <c r="E843" s="448"/>
      <c r="F843" s="448"/>
      <c r="G843" s="448"/>
      <c r="H843" s="448"/>
      <c r="I843" s="448"/>
    </row>
    <row r="844" ht="15.75" customHeight="1">
      <c r="B844" s="448"/>
      <c r="C844" s="448"/>
      <c r="D844" s="448"/>
      <c r="E844" s="448"/>
      <c r="F844" s="448"/>
      <c r="G844" s="448"/>
      <c r="H844" s="448"/>
      <c r="I844" s="448"/>
    </row>
    <row r="845" ht="15.75" customHeight="1">
      <c r="B845" s="448"/>
      <c r="C845" s="448"/>
      <c r="D845" s="448"/>
      <c r="E845" s="448"/>
      <c r="F845" s="448"/>
      <c r="G845" s="448"/>
      <c r="H845" s="448"/>
      <c r="I845" s="448"/>
    </row>
    <row r="846" ht="15.75" customHeight="1">
      <c r="B846" s="448"/>
      <c r="C846" s="448"/>
      <c r="D846" s="448"/>
      <c r="E846" s="448"/>
      <c r="F846" s="448"/>
      <c r="G846" s="448"/>
      <c r="H846" s="448"/>
      <c r="I846" s="448"/>
    </row>
    <row r="847" ht="15.75" customHeight="1">
      <c r="B847" s="448"/>
      <c r="C847" s="448"/>
      <c r="D847" s="448"/>
      <c r="E847" s="448"/>
      <c r="F847" s="448"/>
      <c r="G847" s="448"/>
      <c r="H847" s="448"/>
      <c r="I847" s="448"/>
    </row>
    <row r="848" ht="15.75" customHeight="1">
      <c r="B848" s="448"/>
      <c r="C848" s="448"/>
      <c r="D848" s="448"/>
      <c r="E848" s="448"/>
      <c r="F848" s="448"/>
      <c r="G848" s="448"/>
      <c r="H848" s="448"/>
      <c r="I848" s="448"/>
    </row>
    <row r="849" ht="15.75" customHeight="1">
      <c r="B849" s="448"/>
      <c r="C849" s="448"/>
      <c r="D849" s="448"/>
      <c r="E849" s="448"/>
      <c r="F849" s="448"/>
      <c r="G849" s="448"/>
      <c r="H849" s="448"/>
      <c r="I849" s="448"/>
    </row>
    <row r="850" ht="15.75" customHeight="1">
      <c r="B850" s="448"/>
      <c r="C850" s="448"/>
      <c r="D850" s="448"/>
      <c r="E850" s="448"/>
      <c r="F850" s="448"/>
      <c r="G850" s="448"/>
      <c r="H850" s="448"/>
      <c r="I850" s="448"/>
    </row>
    <row r="851" ht="15.75" customHeight="1">
      <c r="B851" s="448"/>
      <c r="C851" s="448"/>
      <c r="D851" s="448"/>
      <c r="E851" s="448"/>
      <c r="F851" s="448"/>
      <c r="G851" s="448"/>
      <c r="H851" s="448"/>
      <c r="I851" s="448"/>
    </row>
    <row r="852" ht="15.75" customHeight="1">
      <c r="B852" s="448"/>
      <c r="C852" s="448"/>
      <c r="D852" s="448"/>
      <c r="E852" s="448"/>
      <c r="F852" s="448"/>
      <c r="G852" s="448"/>
      <c r="H852" s="448"/>
      <c r="I852" s="448"/>
    </row>
    <row r="853" ht="15.75" customHeight="1">
      <c r="B853" s="448"/>
      <c r="C853" s="448"/>
      <c r="D853" s="448"/>
      <c r="E853" s="448"/>
      <c r="F853" s="448"/>
      <c r="G853" s="448"/>
      <c r="H853" s="448"/>
      <c r="I853" s="448"/>
    </row>
    <row r="854" ht="15.75" customHeight="1">
      <c r="B854" s="448"/>
      <c r="C854" s="448"/>
      <c r="D854" s="448"/>
      <c r="E854" s="448"/>
      <c r="F854" s="448"/>
      <c r="G854" s="448"/>
      <c r="H854" s="448"/>
      <c r="I854" s="448"/>
    </row>
    <row r="855" ht="15.75" customHeight="1">
      <c r="B855" s="448"/>
      <c r="C855" s="448"/>
      <c r="D855" s="448"/>
      <c r="E855" s="448"/>
      <c r="F855" s="448"/>
      <c r="G855" s="448"/>
      <c r="H855" s="448"/>
      <c r="I855" s="448"/>
    </row>
    <row r="856" ht="15.75" customHeight="1">
      <c r="B856" s="448"/>
      <c r="C856" s="448"/>
      <c r="D856" s="448"/>
      <c r="E856" s="448"/>
      <c r="F856" s="448"/>
      <c r="G856" s="448"/>
      <c r="H856" s="448"/>
      <c r="I856" s="448"/>
    </row>
    <row r="857" ht="15.75" customHeight="1">
      <c r="B857" s="448"/>
      <c r="C857" s="448"/>
      <c r="D857" s="448"/>
      <c r="E857" s="448"/>
      <c r="F857" s="448"/>
      <c r="G857" s="448"/>
      <c r="H857" s="448"/>
      <c r="I857" s="448"/>
    </row>
    <row r="858" ht="15.75" customHeight="1">
      <c r="B858" s="448"/>
      <c r="C858" s="448"/>
      <c r="D858" s="448"/>
      <c r="E858" s="448"/>
      <c r="F858" s="448"/>
      <c r="G858" s="448"/>
      <c r="H858" s="448"/>
      <c r="I858" s="448"/>
    </row>
    <row r="859" ht="15.75" customHeight="1">
      <c r="B859" s="448"/>
      <c r="C859" s="448"/>
      <c r="D859" s="448"/>
      <c r="E859" s="448"/>
      <c r="F859" s="448"/>
      <c r="G859" s="448"/>
      <c r="H859" s="448"/>
      <c r="I859" s="448"/>
    </row>
    <row r="860" ht="15.75" customHeight="1">
      <c r="B860" s="448"/>
      <c r="C860" s="448"/>
      <c r="D860" s="448"/>
      <c r="E860" s="448"/>
      <c r="F860" s="448"/>
      <c r="G860" s="448"/>
      <c r="H860" s="448"/>
      <c r="I860" s="448"/>
    </row>
    <row r="861" ht="15.75" customHeight="1">
      <c r="B861" s="448"/>
      <c r="C861" s="448"/>
      <c r="D861" s="448"/>
      <c r="E861" s="448"/>
      <c r="F861" s="448"/>
      <c r="G861" s="448"/>
      <c r="H861" s="448"/>
      <c r="I861" s="448"/>
    </row>
    <row r="862" ht="15.75" customHeight="1">
      <c r="B862" s="448"/>
      <c r="C862" s="448"/>
      <c r="D862" s="448"/>
      <c r="E862" s="448"/>
      <c r="F862" s="448"/>
      <c r="G862" s="448"/>
      <c r="H862" s="448"/>
      <c r="I862" s="448"/>
    </row>
    <row r="863" ht="15.75" customHeight="1">
      <c r="B863" s="448"/>
      <c r="C863" s="448"/>
      <c r="D863" s="448"/>
      <c r="E863" s="448"/>
      <c r="F863" s="448"/>
      <c r="G863" s="448"/>
      <c r="H863" s="448"/>
      <c r="I863" s="448"/>
    </row>
    <row r="864" ht="15.75" customHeight="1">
      <c r="B864" s="448"/>
      <c r="C864" s="448"/>
      <c r="D864" s="448"/>
      <c r="E864" s="448"/>
      <c r="F864" s="448"/>
      <c r="G864" s="448"/>
      <c r="H864" s="448"/>
      <c r="I864" s="448"/>
    </row>
    <row r="865" ht="15.75" customHeight="1">
      <c r="B865" s="448"/>
      <c r="C865" s="448"/>
      <c r="D865" s="448"/>
      <c r="E865" s="448"/>
      <c r="F865" s="448"/>
      <c r="G865" s="448"/>
      <c r="H865" s="448"/>
      <c r="I865" s="448"/>
    </row>
    <row r="866" ht="15.75" customHeight="1">
      <c r="B866" s="448"/>
      <c r="C866" s="448"/>
      <c r="D866" s="448"/>
      <c r="E866" s="448"/>
      <c r="F866" s="448"/>
      <c r="G866" s="448"/>
      <c r="H866" s="448"/>
      <c r="I866" s="448"/>
    </row>
    <row r="867" ht="15.75" customHeight="1">
      <c r="B867" s="448"/>
      <c r="C867" s="448"/>
      <c r="D867" s="448"/>
      <c r="E867" s="448"/>
      <c r="F867" s="448"/>
      <c r="G867" s="448"/>
      <c r="H867" s="448"/>
      <c r="I867" s="448"/>
    </row>
    <row r="868" ht="15.75" customHeight="1">
      <c r="B868" s="448"/>
      <c r="C868" s="448"/>
      <c r="D868" s="448"/>
      <c r="E868" s="448"/>
      <c r="F868" s="448"/>
      <c r="G868" s="448"/>
      <c r="H868" s="448"/>
      <c r="I868" s="448"/>
    </row>
    <row r="869" ht="15.75" customHeight="1">
      <c r="B869" s="448"/>
      <c r="C869" s="448"/>
      <c r="D869" s="448"/>
      <c r="E869" s="448"/>
      <c r="F869" s="448"/>
      <c r="G869" s="448"/>
      <c r="H869" s="448"/>
      <c r="I869" s="448"/>
    </row>
    <row r="870" ht="15.75" customHeight="1">
      <c r="B870" s="448"/>
      <c r="C870" s="448"/>
      <c r="D870" s="448"/>
      <c r="E870" s="448"/>
      <c r="F870" s="448"/>
      <c r="G870" s="448"/>
      <c r="H870" s="448"/>
      <c r="I870" s="448"/>
    </row>
    <row r="871" ht="15.75" customHeight="1">
      <c r="B871" s="448"/>
      <c r="C871" s="448"/>
      <c r="D871" s="448"/>
      <c r="E871" s="448"/>
      <c r="F871" s="448"/>
      <c r="G871" s="448"/>
      <c r="H871" s="448"/>
      <c r="I871" s="448"/>
    </row>
    <row r="872" ht="15.75" customHeight="1">
      <c r="B872" s="448"/>
      <c r="C872" s="448"/>
      <c r="D872" s="448"/>
      <c r="E872" s="448"/>
      <c r="F872" s="448"/>
      <c r="G872" s="448"/>
      <c r="H872" s="448"/>
      <c r="I872" s="448"/>
    </row>
    <row r="873" ht="15.75" customHeight="1">
      <c r="B873" s="448"/>
      <c r="C873" s="448"/>
      <c r="D873" s="448"/>
      <c r="E873" s="448"/>
      <c r="F873" s="448"/>
      <c r="G873" s="448"/>
      <c r="H873" s="448"/>
      <c r="I873" s="448"/>
    </row>
    <row r="874" ht="15.75" customHeight="1">
      <c r="B874" s="448"/>
      <c r="C874" s="448"/>
      <c r="D874" s="448"/>
      <c r="E874" s="448"/>
      <c r="F874" s="448"/>
      <c r="G874" s="448"/>
      <c r="H874" s="448"/>
      <c r="I874" s="448"/>
    </row>
    <row r="875" ht="15.75" customHeight="1">
      <c r="B875" s="448"/>
      <c r="C875" s="448"/>
      <c r="D875" s="448"/>
      <c r="E875" s="448"/>
      <c r="F875" s="448"/>
      <c r="G875" s="448"/>
      <c r="H875" s="448"/>
      <c r="I875" s="448"/>
    </row>
    <row r="876" ht="15.75" customHeight="1">
      <c r="B876" s="448"/>
      <c r="C876" s="448"/>
      <c r="D876" s="448"/>
      <c r="E876" s="448"/>
      <c r="F876" s="448"/>
      <c r="G876" s="448"/>
      <c r="H876" s="448"/>
      <c r="I876" s="448"/>
    </row>
    <row r="877" ht="15.75" customHeight="1">
      <c r="B877" s="448"/>
      <c r="C877" s="448"/>
      <c r="D877" s="448"/>
      <c r="E877" s="448"/>
      <c r="F877" s="448"/>
      <c r="G877" s="448"/>
      <c r="H877" s="448"/>
      <c r="I877" s="448"/>
    </row>
    <row r="878" ht="15.75" customHeight="1">
      <c r="B878" s="448"/>
      <c r="C878" s="448"/>
      <c r="D878" s="448"/>
      <c r="E878" s="448"/>
      <c r="F878" s="448"/>
      <c r="G878" s="448"/>
      <c r="H878" s="448"/>
      <c r="I878" s="448"/>
    </row>
    <row r="879" ht="15.75" customHeight="1">
      <c r="B879" s="448"/>
      <c r="C879" s="448"/>
      <c r="D879" s="448"/>
      <c r="E879" s="448"/>
      <c r="F879" s="448"/>
      <c r="G879" s="448"/>
      <c r="H879" s="448"/>
      <c r="I879" s="448"/>
    </row>
    <row r="880" ht="15.75" customHeight="1">
      <c r="B880" s="448"/>
      <c r="C880" s="448"/>
      <c r="D880" s="448"/>
      <c r="E880" s="448"/>
      <c r="F880" s="448"/>
      <c r="G880" s="448"/>
      <c r="H880" s="448"/>
      <c r="I880" s="448"/>
    </row>
    <row r="881" ht="15.75" customHeight="1">
      <c r="B881" s="448"/>
      <c r="C881" s="448"/>
      <c r="D881" s="448"/>
      <c r="E881" s="448"/>
      <c r="F881" s="448"/>
      <c r="G881" s="448"/>
      <c r="H881" s="448"/>
      <c r="I881" s="448"/>
    </row>
    <row r="882" ht="15.75" customHeight="1">
      <c r="B882" s="448"/>
      <c r="C882" s="448"/>
      <c r="D882" s="448"/>
      <c r="E882" s="448"/>
      <c r="F882" s="448"/>
      <c r="G882" s="448"/>
      <c r="H882" s="448"/>
      <c r="I882" s="448"/>
    </row>
    <row r="883" ht="15.75" customHeight="1">
      <c r="B883" s="448"/>
      <c r="C883" s="448"/>
      <c r="D883" s="448"/>
      <c r="E883" s="448"/>
      <c r="F883" s="448"/>
      <c r="G883" s="448"/>
      <c r="H883" s="448"/>
      <c r="I883" s="448"/>
    </row>
    <row r="884" ht="15.75" customHeight="1">
      <c r="B884" s="448"/>
      <c r="C884" s="448"/>
      <c r="D884" s="448"/>
      <c r="E884" s="448"/>
      <c r="F884" s="448"/>
      <c r="G884" s="448"/>
      <c r="H884" s="448"/>
      <c r="I884" s="448"/>
    </row>
    <row r="885" ht="15.75" customHeight="1">
      <c r="B885" s="448"/>
      <c r="C885" s="448"/>
      <c r="D885" s="448"/>
      <c r="E885" s="448"/>
      <c r="F885" s="448"/>
      <c r="G885" s="448"/>
      <c r="H885" s="448"/>
      <c r="I885" s="448"/>
    </row>
    <row r="886" ht="15.75" customHeight="1">
      <c r="B886" s="448"/>
      <c r="C886" s="448"/>
      <c r="D886" s="448"/>
      <c r="E886" s="448"/>
      <c r="F886" s="448"/>
      <c r="G886" s="448"/>
      <c r="H886" s="448"/>
      <c r="I886" s="448"/>
    </row>
    <row r="887" ht="15.75" customHeight="1">
      <c r="B887" s="448"/>
      <c r="C887" s="448"/>
      <c r="D887" s="448"/>
      <c r="E887" s="448"/>
      <c r="F887" s="448"/>
      <c r="G887" s="448"/>
      <c r="H887" s="448"/>
      <c r="I887" s="448"/>
    </row>
    <row r="888" ht="15.75" customHeight="1">
      <c r="B888" s="448"/>
      <c r="C888" s="448"/>
      <c r="D888" s="448"/>
      <c r="E888" s="448"/>
      <c r="F888" s="448"/>
      <c r="G888" s="448"/>
      <c r="H888" s="448"/>
      <c r="I888" s="448"/>
    </row>
    <row r="889" ht="15.75" customHeight="1">
      <c r="B889" s="448"/>
      <c r="C889" s="448"/>
      <c r="D889" s="448"/>
      <c r="E889" s="448"/>
      <c r="F889" s="448"/>
      <c r="G889" s="448"/>
      <c r="H889" s="448"/>
      <c r="I889" s="448"/>
    </row>
    <row r="890" ht="15.75" customHeight="1">
      <c r="B890" s="448"/>
      <c r="C890" s="448"/>
      <c r="D890" s="448"/>
      <c r="E890" s="448"/>
      <c r="F890" s="448"/>
      <c r="G890" s="448"/>
      <c r="H890" s="448"/>
      <c r="I890" s="448"/>
    </row>
    <row r="891" ht="15.75" customHeight="1">
      <c r="B891" s="448"/>
      <c r="C891" s="448"/>
      <c r="D891" s="448"/>
      <c r="E891" s="448"/>
      <c r="F891" s="448"/>
      <c r="G891" s="448"/>
      <c r="H891" s="448"/>
      <c r="I891" s="448"/>
    </row>
    <row r="892" ht="15.75" customHeight="1">
      <c r="B892" s="448"/>
      <c r="C892" s="448"/>
      <c r="D892" s="448"/>
      <c r="E892" s="448"/>
      <c r="F892" s="448"/>
      <c r="G892" s="448"/>
      <c r="H892" s="448"/>
      <c r="I892" s="448"/>
    </row>
    <row r="893" ht="15.75" customHeight="1">
      <c r="B893" s="448"/>
      <c r="C893" s="448"/>
      <c r="D893" s="448"/>
      <c r="E893" s="448"/>
      <c r="F893" s="448"/>
      <c r="G893" s="448"/>
      <c r="H893" s="448"/>
      <c r="I893" s="448"/>
    </row>
    <row r="894" ht="15.75" customHeight="1">
      <c r="B894" s="448"/>
      <c r="C894" s="448"/>
      <c r="D894" s="448"/>
      <c r="E894" s="448"/>
      <c r="F894" s="448"/>
      <c r="G894" s="448"/>
      <c r="H894" s="448"/>
      <c r="I894" s="448"/>
    </row>
    <row r="895" ht="15.75" customHeight="1">
      <c r="B895" s="448"/>
      <c r="C895" s="448"/>
      <c r="D895" s="448"/>
      <c r="E895" s="448"/>
      <c r="F895" s="448"/>
      <c r="G895" s="448"/>
      <c r="H895" s="448"/>
      <c r="I895" s="448"/>
    </row>
    <row r="896" ht="15.75" customHeight="1">
      <c r="B896" s="448"/>
      <c r="C896" s="448"/>
      <c r="D896" s="448"/>
      <c r="E896" s="448"/>
      <c r="F896" s="448"/>
      <c r="G896" s="448"/>
      <c r="H896" s="448"/>
      <c r="I896" s="448"/>
    </row>
    <row r="897" ht="15.75" customHeight="1">
      <c r="B897" s="448"/>
      <c r="C897" s="448"/>
      <c r="D897" s="448"/>
      <c r="E897" s="448"/>
      <c r="F897" s="448"/>
      <c r="G897" s="448"/>
      <c r="H897" s="448"/>
      <c r="I897" s="448"/>
    </row>
    <row r="898" ht="15.75" customHeight="1">
      <c r="B898" s="448"/>
      <c r="C898" s="448"/>
      <c r="D898" s="448"/>
      <c r="E898" s="448"/>
      <c r="F898" s="448"/>
      <c r="G898" s="448"/>
      <c r="H898" s="448"/>
      <c r="I898" s="448"/>
    </row>
    <row r="899" ht="15.75" customHeight="1">
      <c r="B899" s="448"/>
      <c r="C899" s="448"/>
      <c r="D899" s="448"/>
      <c r="E899" s="448"/>
      <c r="F899" s="448"/>
      <c r="G899" s="448"/>
      <c r="H899" s="448"/>
      <c r="I899" s="448"/>
    </row>
    <row r="900" ht="15.75" customHeight="1">
      <c r="B900" s="448"/>
      <c r="C900" s="448"/>
      <c r="D900" s="448"/>
      <c r="E900" s="448"/>
      <c r="F900" s="448"/>
      <c r="G900" s="448"/>
      <c r="H900" s="448"/>
      <c r="I900" s="448"/>
    </row>
    <row r="901" ht="15.75" customHeight="1">
      <c r="B901" s="448"/>
      <c r="C901" s="448"/>
      <c r="D901" s="448"/>
      <c r="E901" s="448"/>
      <c r="F901" s="448"/>
      <c r="G901" s="448"/>
      <c r="H901" s="448"/>
      <c r="I901" s="448"/>
    </row>
    <row r="902" ht="15.75" customHeight="1">
      <c r="B902" s="448"/>
      <c r="C902" s="448"/>
      <c r="D902" s="448"/>
      <c r="E902" s="448"/>
      <c r="F902" s="448"/>
      <c r="G902" s="448"/>
      <c r="H902" s="448"/>
      <c r="I902" s="448"/>
    </row>
    <row r="903" ht="15.75" customHeight="1">
      <c r="B903" s="448"/>
      <c r="C903" s="448"/>
      <c r="D903" s="448"/>
      <c r="E903" s="448"/>
      <c r="F903" s="448"/>
      <c r="G903" s="448"/>
      <c r="H903" s="448"/>
      <c r="I903" s="448"/>
    </row>
    <row r="904" ht="15.75" customHeight="1">
      <c r="B904" s="448"/>
      <c r="C904" s="448"/>
      <c r="D904" s="448"/>
      <c r="E904" s="448"/>
      <c r="F904" s="448"/>
      <c r="G904" s="448"/>
      <c r="H904" s="448"/>
      <c r="I904" s="448"/>
    </row>
    <row r="905" ht="15.75" customHeight="1">
      <c r="B905" s="448"/>
      <c r="C905" s="448"/>
      <c r="D905" s="448"/>
      <c r="E905" s="448"/>
      <c r="F905" s="448"/>
      <c r="G905" s="448"/>
      <c r="H905" s="448"/>
      <c r="I905" s="448"/>
    </row>
    <row r="906" ht="15.75" customHeight="1">
      <c r="B906" s="448"/>
      <c r="C906" s="448"/>
      <c r="D906" s="448"/>
      <c r="E906" s="448"/>
      <c r="F906" s="448"/>
      <c r="G906" s="448"/>
      <c r="H906" s="448"/>
      <c r="I906" s="448"/>
    </row>
    <row r="907" ht="15.75" customHeight="1">
      <c r="B907" s="448"/>
      <c r="C907" s="448"/>
      <c r="D907" s="448"/>
      <c r="E907" s="448"/>
      <c r="F907" s="448"/>
      <c r="G907" s="448"/>
      <c r="H907" s="448"/>
      <c r="I907" s="448"/>
    </row>
    <row r="908" ht="15.75" customHeight="1">
      <c r="B908" s="448"/>
      <c r="C908" s="448"/>
      <c r="D908" s="448"/>
      <c r="E908" s="448"/>
      <c r="F908" s="448"/>
      <c r="G908" s="448"/>
      <c r="H908" s="448"/>
      <c r="I908" s="448"/>
    </row>
    <row r="909" ht="15.75" customHeight="1">
      <c r="B909" s="448"/>
      <c r="C909" s="448"/>
      <c r="D909" s="448"/>
      <c r="E909" s="448"/>
      <c r="F909" s="448"/>
      <c r="G909" s="448"/>
      <c r="H909" s="448"/>
      <c r="I909" s="448"/>
    </row>
    <row r="910" ht="15.75" customHeight="1">
      <c r="B910" s="448"/>
      <c r="C910" s="448"/>
      <c r="D910" s="448"/>
      <c r="E910" s="448"/>
      <c r="F910" s="448"/>
      <c r="G910" s="448"/>
      <c r="H910" s="448"/>
      <c r="I910" s="448"/>
    </row>
    <row r="911" ht="15.75" customHeight="1">
      <c r="B911" s="448"/>
      <c r="C911" s="448"/>
      <c r="D911" s="448"/>
      <c r="E911" s="448"/>
      <c r="F911" s="448"/>
      <c r="G911" s="448"/>
      <c r="H911" s="448"/>
      <c r="I911" s="448"/>
    </row>
    <row r="912" ht="15.75" customHeight="1">
      <c r="B912" s="448"/>
      <c r="C912" s="448"/>
      <c r="D912" s="448"/>
      <c r="E912" s="448"/>
      <c r="F912" s="448"/>
      <c r="G912" s="448"/>
      <c r="H912" s="448"/>
      <c r="I912" s="448"/>
    </row>
    <row r="913" ht="15.75" customHeight="1">
      <c r="B913" s="448"/>
      <c r="C913" s="448"/>
      <c r="D913" s="448"/>
      <c r="E913" s="448"/>
      <c r="F913" s="448"/>
      <c r="G913" s="448"/>
      <c r="H913" s="448"/>
      <c r="I913" s="448"/>
    </row>
    <row r="914" ht="15.75" customHeight="1">
      <c r="B914" s="448"/>
      <c r="C914" s="448"/>
      <c r="D914" s="448"/>
      <c r="E914" s="448"/>
      <c r="F914" s="448"/>
      <c r="G914" s="448"/>
      <c r="H914" s="448"/>
      <c r="I914" s="448"/>
    </row>
    <row r="915" ht="15.75" customHeight="1">
      <c r="B915" s="448"/>
      <c r="C915" s="448"/>
      <c r="D915" s="448"/>
      <c r="E915" s="448"/>
      <c r="F915" s="448"/>
      <c r="G915" s="448"/>
      <c r="H915" s="448"/>
      <c r="I915" s="448"/>
    </row>
    <row r="916" ht="15.75" customHeight="1">
      <c r="B916" s="448"/>
      <c r="C916" s="448"/>
      <c r="D916" s="448"/>
      <c r="E916" s="448"/>
      <c r="F916" s="448"/>
      <c r="G916" s="448"/>
      <c r="H916" s="448"/>
      <c r="I916" s="448"/>
    </row>
    <row r="917" ht="15.75" customHeight="1">
      <c r="B917" s="448"/>
      <c r="C917" s="448"/>
      <c r="D917" s="448"/>
      <c r="E917" s="448"/>
      <c r="F917" s="448"/>
      <c r="G917" s="448"/>
      <c r="H917" s="448"/>
      <c r="I917" s="448"/>
    </row>
    <row r="918" ht="15.75" customHeight="1">
      <c r="B918" s="448"/>
      <c r="C918" s="448"/>
      <c r="D918" s="448"/>
      <c r="E918" s="448"/>
      <c r="F918" s="448"/>
      <c r="G918" s="448"/>
      <c r="H918" s="448"/>
      <c r="I918" s="448"/>
    </row>
    <row r="919" ht="15.75" customHeight="1">
      <c r="B919" s="448"/>
      <c r="C919" s="448"/>
      <c r="D919" s="448"/>
      <c r="E919" s="448"/>
      <c r="F919" s="448"/>
      <c r="G919" s="448"/>
      <c r="H919" s="448"/>
      <c r="I919" s="448"/>
    </row>
    <row r="920" ht="15.75" customHeight="1">
      <c r="B920" s="448"/>
      <c r="C920" s="448"/>
      <c r="D920" s="448"/>
      <c r="E920" s="448"/>
      <c r="F920" s="448"/>
      <c r="G920" s="448"/>
      <c r="H920" s="448"/>
      <c r="I920" s="448"/>
    </row>
    <row r="921" ht="15.75" customHeight="1">
      <c r="B921" s="448"/>
      <c r="C921" s="448"/>
      <c r="D921" s="448"/>
      <c r="E921" s="448"/>
      <c r="F921" s="448"/>
      <c r="G921" s="448"/>
      <c r="H921" s="448"/>
      <c r="I921" s="448"/>
    </row>
    <row r="922" ht="15.75" customHeight="1">
      <c r="B922" s="448"/>
      <c r="C922" s="448"/>
      <c r="D922" s="448"/>
      <c r="E922" s="448"/>
      <c r="F922" s="448"/>
      <c r="G922" s="448"/>
      <c r="H922" s="448"/>
      <c r="I922" s="448"/>
    </row>
    <row r="923" ht="15.75" customHeight="1">
      <c r="B923" s="448"/>
      <c r="C923" s="448"/>
      <c r="D923" s="448"/>
      <c r="E923" s="448"/>
      <c r="F923" s="448"/>
      <c r="G923" s="448"/>
      <c r="H923" s="448"/>
      <c r="I923" s="448"/>
    </row>
    <row r="924" ht="15.75" customHeight="1">
      <c r="B924" s="448"/>
      <c r="C924" s="448"/>
      <c r="D924" s="448"/>
      <c r="E924" s="448"/>
      <c r="F924" s="448"/>
      <c r="G924" s="448"/>
      <c r="H924" s="448"/>
      <c r="I924" s="448"/>
    </row>
    <row r="925" ht="15.75" customHeight="1">
      <c r="B925" s="448"/>
      <c r="C925" s="448"/>
      <c r="D925" s="448"/>
      <c r="E925" s="448"/>
      <c r="F925" s="448"/>
      <c r="G925" s="448"/>
      <c r="H925" s="448"/>
      <c r="I925" s="448"/>
    </row>
    <row r="926" ht="15.75" customHeight="1">
      <c r="B926" s="448"/>
      <c r="C926" s="448"/>
      <c r="D926" s="448"/>
      <c r="E926" s="448"/>
      <c r="F926" s="448"/>
      <c r="G926" s="448"/>
      <c r="H926" s="448"/>
      <c r="I926" s="448"/>
    </row>
    <row r="927" ht="15.75" customHeight="1">
      <c r="B927" s="448"/>
      <c r="C927" s="448"/>
      <c r="D927" s="448"/>
      <c r="E927" s="448"/>
      <c r="F927" s="448"/>
      <c r="G927" s="448"/>
      <c r="H927" s="448"/>
      <c r="I927" s="448"/>
    </row>
    <row r="928" ht="15.75" customHeight="1">
      <c r="B928" s="448"/>
      <c r="C928" s="448"/>
      <c r="D928" s="448"/>
      <c r="E928" s="448"/>
      <c r="F928" s="448"/>
      <c r="G928" s="448"/>
      <c r="H928" s="448"/>
      <c r="I928" s="448"/>
    </row>
    <row r="929" ht="15.75" customHeight="1">
      <c r="B929" s="448"/>
      <c r="C929" s="448"/>
      <c r="D929" s="448"/>
      <c r="E929" s="448"/>
      <c r="F929" s="448"/>
      <c r="G929" s="448"/>
      <c r="H929" s="448"/>
      <c r="I929" s="448"/>
    </row>
    <row r="930" ht="15.75" customHeight="1">
      <c r="B930" s="448"/>
      <c r="C930" s="448"/>
      <c r="D930" s="448"/>
      <c r="E930" s="448"/>
      <c r="F930" s="448"/>
      <c r="G930" s="448"/>
      <c r="H930" s="448"/>
      <c r="I930" s="448"/>
    </row>
    <row r="931" ht="15.75" customHeight="1">
      <c r="B931" s="448"/>
      <c r="C931" s="448"/>
      <c r="D931" s="448"/>
      <c r="E931" s="448"/>
      <c r="F931" s="448"/>
      <c r="G931" s="448"/>
      <c r="H931" s="448"/>
      <c r="I931" s="448"/>
    </row>
    <row r="932" ht="15.75" customHeight="1">
      <c r="B932" s="448"/>
      <c r="C932" s="448"/>
      <c r="D932" s="448"/>
      <c r="E932" s="448"/>
      <c r="F932" s="448"/>
      <c r="G932" s="448"/>
      <c r="H932" s="448"/>
      <c r="I932" s="448"/>
    </row>
    <row r="933" ht="15.75" customHeight="1">
      <c r="B933" s="448"/>
      <c r="C933" s="448"/>
      <c r="D933" s="448"/>
      <c r="E933" s="448"/>
      <c r="F933" s="448"/>
      <c r="G933" s="448"/>
      <c r="H933" s="448"/>
      <c r="I933" s="448"/>
    </row>
    <row r="934" ht="15.75" customHeight="1">
      <c r="B934" s="448"/>
      <c r="C934" s="448"/>
      <c r="D934" s="448"/>
      <c r="E934" s="448"/>
      <c r="F934" s="448"/>
      <c r="G934" s="448"/>
      <c r="H934" s="448"/>
      <c r="I934" s="448"/>
    </row>
    <row r="935" ht="15.75" customHeight="1">
      <c r="B935" s="448"/>
      <c r="C935" s="448"/>
      <c r="D935" s="448"/>
      <c r="E935" s="448"/>
      <c r="F935" s="448"/>
      <c r="G935" s="448"/>
      <c r="H935" s="448"/>
      <c r="I935" s="448"/>
    </row>
    <row r="936" ht="15.75" customHeight="1">
      <c r="B936" s="448"/>
      <c r="C936" s="448"/>
      <c r="D936" s="448"/>
      <c r="E936" s="448"/>
      <c r="F936" s="448"/>
      <c r="G936" s="448"/>
      <c r="H936" s="448"/>
      <c r="I936" s="448"/>
    </row>
    <row r="937" ht="15.75" customHeight="1">
      <c r="B937" s="448"/>
      <c r="C937" s="448"/>
      <c r="D937" s="448"/>
      <c r="E937" s="448"/>
      <c r="F937" s="448"/>
      <c r="G937" s="448"/>
      <c r="H937" s="448"/>
      <c r="I937" s="448"/>
    </row>
    <row r="938" ht="15.75" customHeight="1">
      <c r="B938" s="448"/>
      <c r="C938" s="448"/>
      <c r="D938" s="448"/>
      <c r="E938" s="448"/>
      <c r="F938" s="448"/>
      <c r="G938" s="448"/>
      <c r="H938" s="448"/>
      <c r="I938" s="448"/>
    </row>
    <row r="939" ht="15.75" customHeight="1">
      <c r="B939" s="448"/>
      <c r="C939" s="448"/>
      <c r="D939" s="448"/>
      <c r="E939" s="448"/>
      <c r="F939" s="448"/>
      <c r="G939" s="448"/>
      <c r="H939" s="448"/>
      <c r="I939" s="448"/>
    </row>
    <row r="940" ht="15.75" customHeight="1">
      <c r="B940" s="448"/>
      <c r="C940" s="448"/>
      <c r="D940" s="448"/>
      <c r="E940" s="448"/>
      <c r="F940" s="448"/>
      <c r="G940" s="448"/>
      <c r="H940" s="448"/>
      <c r="I940" s="448"/>
    </row>
    <row r="941" ht="15.75" customHeight="1">
      <c r="B941" s="448"/>
      <c r="C941" s="448"/>
      <c r="D941" s="448"/>
      <c r="E941" s="448"/>
      <c r="F941" s="448"/>
      <c r="G941" s="448"/>
      <c r="H941" s="448"/>
      <c r="I941" s="448"/>
    </row>
    <row r="942" ht="15.75" customHeight="1">
      <c r="B942" s="448"/>
      <c r="C942" s="448"/>
      <c r="D942" s="448"/>
      <c r="E942" s="448"/>
      <c r="F942" s="448"/>
      <c r="G942" s="448"/>
      <c r="H942" s="448"/>
      <c r="I942" s="448"/>
    </row>
    <row r="943" ht="15.75" customHeight="1">
      <c r="B943" s="448"/>
      <c r="C943" s="448"/>
      <c r="D943" s="448"/>
      <c r="E943" s="448"/>
      <c r="F943" s="448"/>
      <c r="G943" s="448"/>
      <c r="H943" s="448"/>
      <c r="I943" s="448"/>
    </row>
    <row r="944" ht="15.75" customHeight="1">
      <c r="B944" s="448"/>
      <c r="C944" s="448"/>
      <c r="D944" s="448"/>
      <c r="E944" s="448"/>
      <c r="F944" s="448"/>
      <c r="G944" s="448"/>
      <c r="H944" s="448"/>
      <c r="I944" s="448"/>
    </row>
    <row r="945" ht="15.75" customHeight="1">
      <c r="B945" s="448"/>
      <c r="C945" s="448"/>
      <c r="D945" s="448"/>
      <c r="E945" s="448"/>
      <c r="F945" s="448"/>
      <c r="G945" s="448"/>
      <c r="H945" s="448"/>
      <c r="I945" s="448"/>
    </row>
    <row r="946" ht="15.75" customHeight="1">
      <c r="B946" s="448"/>
      <c r="C946" s="448"/>
      <c r="D946" s="448"/>
      <c r="E946" s="448"/>
      <c r="F946" s="448"/>
      <c r="G946" s="448"/>
      <c r="H946" s="448"/>
      <c r="I946" s="448"/>
    </row>
    <row r="947" ht="15.75" customHeight="1">
      <c r="B947" s="448"/>
      <c r="C947" s="448"/>
      <c r="D947" s="448"/>
      <c r="E947" s="448"/>
      <c r="F947" s="448"/>
      <c r="G947" s="448"/>
      <c r="H947" s="448"/>
      <c r="I947" s="448"/>
    </row>
    <row r="948" ht="15.75" customHeight="1">
      <c r="B948" s="448"/>
      <c r="C948" s="448"/>
      <c r="D948" s="448"/>
      <c r="E948" s="448"/>
      <c r="F948" s="448"/>
      <c r="G948" s="448"/>
      <c r="H948" s="448"/>
      <c r="I948" s="448"/>
    </row>
    <row r="949" ht="15.75" customHeight="1">
      <c r="B949" s="448"/>
      <c r="C949" s="448"/>
      <c r="D949" s="448"/>
      <c r="E949" s="448"/>
      <c r="F949" s="448"/>
      <c r="G949" s="448"/>
      <c r="H949" s="448"/>
      <c r="I949" s="448"/>
    </row>
    <row r="950" ht="15.75" customHeight="1">
      <c r="B950" s="448"/>
      <c r="C950" s="448"/>
      <c r="D950" s="448"/>
      <c r="E950" s="448"/>
      <c r="F950" s="448"/>
      <c r="G950" s="448"/>
      <c r="H950" s="448"/>
      <c r="I950" s="448"/>
    </row>
    <row r="951" ht="15.75" customHeight="1">
      <c r="B951" s="448"/>
      <c r="C951" s="448"/>
      <c r="D951" s="448"/>
      <c r="E951" s="448"/>
      <c r="F951" s="448"/>
      <c r="G951" s="448"/>
      <c r="H951" s="448"/>
      <c r="I951" s="448"/>
    </row>
    <row r="952" ht="15.75" customHeight="1">
      <c r="B952" s="448"/>
      <c r="C952" s="448"/>
      <c r="D952" s="448"/>
      <c r="E952" s="448"/>
      <c r="F952" s="448"/>
      <c r="G952" s="448"/>
      <c r="H952" s="448"/>
      <c r="I952" s="448"/>
    </row>
    <row r="953" ht="15.75" customHeight="1">
      <c r="B953" s="448"/>
      <c r="C953" s="448"/>
      <c r="D953" s="448"/>
      <c r="E953" s="448"/>
      <c r="F953" s="448"/>
      <c r="G953" s="448"/>
      <c r="H953" s="448"/>
      <c r="I953" s="448"/>
    </row>
    <row r="954" ht="15.75" customHeight="1">
      <c r="B954" s="448"/>
      <c r="C954" s="448"/>
      <c r="D954" s="448"/>
      <c r="E954" s="448"/>
      <c r="F954" s="448"/>
      <c r="G954" s="448"/>
      <c r="H954" s="448"/>
      <c r="I954" s="448"/>
    </row>
    <row r="955" ht="15.75" customHeight="1">
      <c r="B955" s="448"/>
      <c r="C955" s="448"/>
      <c r="D955" s="448"/>
      <c r="E955" s="448"/>
      <c r="F955" s="448"/>
      <c r="G955" s="448"/>
      <c r="H955" s="448"/>
      <c r="I955" s="448"/>
    </row>
    <row r="956" ht="15.75" customHeight="1">
      <c r="B956" s="448"/>
      <c r="C956" s="448"/>
      <c r="D956" s="448"/>
      <c r="E956" s="448"/>
      <c r="F956" s="448"/>
      <c r="G956" s="448"/>
      <c r="H956" s="448"/>
      <c r="I956" s="448"/>
    </row>
    <row r="957" ht="15.75" customHeight="1">
      <c r="B957" s="448"/>
      <c r="C957" s="448"/>
      <c r="D957" s="448"/>
      <c r="E957" s="448"/>
      <c r="F957" s="448"/>
      <c r="G957" s="448"/>
      <c r="H957" s="448"/>
      <c r="I957" s="448"/>
    </row>
    <row r="958" ht="15.75" customHeight="1">
      <c r="B958" s="448"/>
      <c r="C958" s="448"/>
      <c r="D958" s="448"/>
      <c r="E958" s="448"/>
      <c r="F958" s="448"/>
      <c r="G958" s="448"/>
      <c r="H958" s="448"/>
      <c r="I958" s="448"/>
    </row>
    <row r="959" ht="15.75" customHeight="1">
      <c r="B959" s="448"/>
      <c r="C959" s="448"/>
      <c r="D959" s="448"/>
      <c r="E959" s="448"/>
      <c r="F959" s="448"/>
      <c r="G959" s="448"/>
      <c r="H959" s="448"/>
      <c r="I959" s="448"/>
    </row>
    <row r="960" ht="15.75" customHeight="1">
      <c r="B960" s="448"/>
      <c r="C960" s="448"/>
      <c r="D960" s="448"/>
      <c r="E960" s="448"/>
      <c r="F960" s="448"/>
      <c r="G960" s="448"/>
      <c r="H960" s="448"/>
      <c r="I960" s="448"/>
    </row>
    <row r="961" ht="15.75" customHeight="1">
      <c r="B961" s="448"/>
      <c r="C961" s="448"/>
      <c r="D961" s="448"/>
      <c r="E961" s="448"/>
      <c r="F961" s="448"/>
      <c r="G961" s="448"/>
      <c r="H961" s="448"/>
      <c r="I961" s="448"/>
    </row>
    <row r="962" ht="15.75" customHeight="1">
      <c r="B962" s="448"/>
      <c r="C962" s="448"/>
      <c r="D962" s="448"/>
      <c r="E962" s="448"/>
      <c r="F962" s="448"/>
      <c r="G962" s="448"/>
      <c r="H962" s="448"/>
      <c r="I962" s="448"/>
    </row>
    <row r="963" ht="15.75" customHeight="1">
      <c r="B963" s="448"/>
      <c r="C963" s="448"/>
      <c r="D963" s="448"/>
      <c r="E963" s="448"/>
      <c r="F963" s="448"/>
      <c r="G963" s="448"/>
      <c r="H963" s="448"/>
      <c r="I963" s="448"/>
    </row>
    <row r="964" ht="15.75" customHeight="1">
      <c r="B964" s="448"/>
      <c r="C964" s="448"/>
      <c r="D964" s="448"/>
      <c r="E964" s="448"/>
      <c r="F964" s="448"/>
      <c r="G964" s="448"/>
      <c r="H964" s="448"/>
      <c r="I964" s="448"/>
    </row>
    <row r="965" ht="15.75" customHeight="1">
      <c r="B965" s="448"/>
      <c r="C965" s="448"/>
      <c r="D965" s="448"/>
      <c r="E965" s="448"/>
      <c r="F965" s="448"/>
      <c r="G965" s="448"/>
      <c r="H965" s="448"/>
      <c r="I965" s="448"/>
    </row>
    <row r="966" ht="15.75" customHeight="1">
      <c r="B966" s="448"/>
      <c r="C966" s="448"/>
      <c r="D966" s="448"/>
      <c r="E966" s="448"/>
      <c r="F966" s="448"/>
      <c r="G966" s="448"/>
      <c r="H966" s="448"/>
      <c r="I966" s="448"/>
    </row>
    <row r="967" ht="15.75" customHeight="1">
      <c r="B967" s="448"/>
      <c r="C967" s="448"/>
      <c r="D967" s="448"/>
      <c r="E967" s="448"/>
      <c r="F967" s="448"/>
      <c r="G967" s="448"/>
      <c r="H967" s="448"/>
      <c r="I967" s="448"/>
    </row>
    <row r="968" ht="15.75" customHeight="1">
      <c r="B968" s="448"/>
      <c r="C968" s="448"/>
      <c r="D968" s="448"/>
      <c r="E968" s="448"/>
      <c r="F968" s="448"/>
      <c r="G968" s="448"/>
      <c r="H968" s="448"/>
      <c r="I968" s="448"/>
    </row>
    <row r="969" ht="15.75" customHeight="1">
      <c r="B969" s="448"/>
      <c r="C969" s="448"/>
      <c r="D969" s="448"/>
      <c r="E969" s="448"/>
      <c r="F969" s="448"/>
      <c r="G969" s="448"/>
      <c r="H969" s="448"/>
      <c r="I969" s="448"/>
    </row>
    <row r="970" ht="15.75" customHeight="1">
      <c r="B970" s="448"/>
      <c r="C970" s="448"/>
      <c r="D970" s="448"/>
      <c r="E970" s="448"/>
      <c r="F970" s="448"/>
      <c r="G970" s="448"/>
      <c r="H970" s="448"/>
      <c r="I970" s="448"/>
    </row>
    <row r="971" ht="15.75" customHeight="1">
      <c r="B971" s="448"/>
      <c r="C971" s="448"/>
      <c r="D971" s="448"/>
      <c r="E971" s="448"/>
      <c r="F971" s="448"/>
      <c r="G971" s="448"/>
      <c r="H971" s="448"/>
      <c r="I971" s="448"/>
    </row>
    <row r="972" ht="15.75" customHeight="1">
      <c r="B972" s="448"/>
      <c r="C972" s="448"/>
      <c r="D972" s="448"/>
      <c r="E972" s="448"/>
      <c r="F972" s="448"/>
      <c r="G972" s="448"/>
      <c r="H972" s="448"/>
      <c r="I972" s="448"/>
    </row>
    <row r="973" ht="15.75" customHeight="1">
      <c r="B973" s="448"/>
      <c r="C973" s="448"/>
      <c r="D973" s="448"/>
      <c r="E973" s="448"/>
      <c r="F973" s="448"/>
      <c r="G973" s="448"/>
      <c r="H973" s="448"/>
      <c r="I973" s="448"/>
    </row>
    <row r="974" ht="15.75" customHeight="1">
      <c r="B974" s="448"/>
      <c r="C974" s="448"/>
      <c r="D974" s="448"/>
      <c r="E974" s="448"/>
      <c r="F974" s="448"/>
      <c r="G974" s="448"/>
      <c r="H974" s="448"/>
      <c r="I974" s="448"/>
    </row>
    <row r="975" ht="15.75" customHeight="1">
      <c r="B975" s="448"/>
      <c r="C975" s="448"/>
      <c r="D975" s="448"/>
      <c r="E975" s="448"/>
      <c r="F975" s="448"/>
      <c r="G975" s="448"/>
      <c r="H975" s="448"/>
      <c r="I975" s="448"/>
    </row>
    <row r="976" ht="15.75" customHeight="1">
      <c r="B976" s="448"/>
      <c r="C976" s="448"/>
      <c r="D976" s="448"/>
      <c r="E976" s="448"/>
      <c r="F976" s="448"/>
      <c r="G976" s="448"/>
      <c r="H976" s="448"/>
      <c r="I976" s="448"/>
    </row>
    <row r="977" ht="15.75" customHeight="1">
      <c r="B977" s="448"/>
      <c r="C977" s="448"/>
      <c r="D977" s="448"/>
      <c r="E977" s="448"/>
      <c r="F977" s="448"/>
      <c r="G977" s="448"/>
      <c r="H977" s="448"/>
      <c r="I977" s="448"/>
    </row>
    <row r="978" ht="15.75" customHeight="1">
      <c r="B978" s="448"/>
      <c r="C978" s="448"/>
      <c r="D978" s="448"/>
      <c r="E978" s="448"/>
      <c r="F978" s="448"/>
      <c r="G978" s="448"/>
      <c r="H978" s="448"/>
      <c r="I978" s="448"/>
    </row>
    <row r="979" ht="15.75" customHeight="1">
      <c r="B979" s="448"/>
      <c r="C979" s="448"/>
      <c r="D979" s="448"/>
      <c r="E979" s="448"/>
      <c r="F979" s="448"/>
      <c r="G979" s="448"/>
      <c r="H979" s="448"/>
      <c r="I979" s="448"/>
    </row>
    <row r="980" ht="15.75" customHeight="1">
      <c r="B980" s="448"/>
      <c r="C980" s="448"/>
      <c r="D980" s="448"/>
      <c r="E980" s="448"/>
      <c r="F980" s="448"/>
      <c r="G980" s="448"/>
      <c r="H980" s="448"/>
      <c r="I980" s="448"/>
    </row>
    <row r="981" ht="15.75" customHeight="1">
      <c r="B981" s="448"/>
      <c r="C981" s="448"/>
      <c r="D981" s="448"/>
      <c r="E981" s="448"/>
      <c r="F981" s="448"/>
      <c r="G981" s="448"/>
      <c r="H981" s="448"/>
      <c r="I981" s="448"/>
    </row>
    <row r="982" ht="15.75" customHeight="1">
      <c r="B982" s="448"/>
      <c r="C982" s="448"/>
      <c r="D982" s="448"/>
      <c r="E982" s="448"/>
      <c r="F982" s="448"/>
      <c r="G982" s="448"/>
      <c r="H982" s="448"/>
      <c r="I982" s="448"/>
    </row>
    <row r="983" ht="15.75" customHeight="1">
      <c r="B983" s="448"/>
      <c r="C983" s="448"/>
      <c r="D983" s="448"/>
      <c r="E983" s="448"/>
      <c r="F983" s="448"/>
      <c r="G983" s="448"/>
      <c r="H983" s="448"/>
      <c r="I983" s="448"/>
    </row>
    <row r="984" ht="15.75" customHeight="1">
      <c r="B984" s="448"/>
      <c r="C984" s="448"/>
      <c r="D984" s="448"/>
      <c r="E984" s="448"/>
      <c r="F984" s="448"/>
      <c r="G984" s="448"/>
      <c r="H984" s="448"/>
      <c r="I984" s="448"/>
    </row>
    <row r="985" ht="15.75" customHeight="1">
      <c r="B985" s="448"/>
      <c r="C985" s="448"/>
      <c r="D985" s="448"/>
      <c r="E985" s="448"/>
      <c r="F985" s="448"/>
      <c r="G985" s="448"/>
      <c r="H985" s="448"/>
      <c r="I985" s="448"/>
    </row>
    <row r="986" ht="15.75" customHeight="1">
      <c r="B986" s="448"/>
      <c r="C986" s="448"/>
      <c r="D986" s="448"/>
      <c r="E986" s="448"/>
      <c r="F986" s="448"/>
      <c r="G986" s="448"/>
      <c r="H986" s="448"/>
      <c r="I986" s="448"/>
    </row>
    <row r="987" ht="15.75" customHeight="1">
      <c r="B987" s="448"/>
      <c r="C987" s="448"/>
      <c r="D987" s="448"/>
      <c r="E987" s="448"/>
      <c r="F987" s="448"/>
      <c r="G987" s="448"/>
      <c r="H987" s="448"/>
      <c r="I987" s="448"/>
    </row>
    <row r="988" ht="15.75" customHeight="1">
      <c r="B988" s="448"/>
      <c r="C988" s="448"/>
      <c r="D988" s="448"/>
      <c r="E988" s="448"/>
      <c r="F988" s="448"/>
      <c r="G988" s="448"/>
      <c r="H988" s="448"/>
      <c r="I988" s="448"/>
    </row>
    <row r="989" ht="15.75" customHeight="1">
      <c r="B989" s="448"/>
      <c r="C989" s="448"/>
      <c r="D989" s="448"/>
      <c r="E989" s="448"/>
      <c r="F989" s="448"/>
      <c r="G989" s="448"/>
      <c r="H989" s="448"/>
      <c r="I989" s="448"/>
    </row>
    <row r="990" ht="15.75" customHeight="1">
      <c r="B990" s="448"/>
      <c r="C990" s="448"/>
      <c r="D990" s="448"/>
      <c r="E990" s="448"/>
      <c r="F990" s="448"/>
      <c r="G990" s="448"/>
      <c r="H990" s="448"/>
      <c r="I990" s="448"/>
    </row>
    <row r="991" ht="15.75" customHeight="1">
      <c r="B991" s="448"/>
      <c r="C991" s="448"/>
      <c r="D991" s="448"/>
      <c r="E991" s="448"/>
      <c r="F991" s="448"/>
      <c r="G991" s="448"/>
      <c r="H991" s="448"/>
      <c r="I991" s="448"/>
    </row>
    <row r="992" ht="15.75" customHeight="1">
      <c r="B992" s="448"/>
      <c r="C992" s="448"/>
      <c r="D992" s="448"/>
      <c r="E992" s="448"/>
      <c r="F992" s="448"/>
      <c r="G992" s="448"/>
      <c r="H992" s="448"/>
      <c r="I992" s="448"/>
    </row>
    <row r="993" ht="15.75" customHeight="1">
      <c r="B993" s="448"/>
      <c r="C993" s="448"/>
      <c r="D993" s="448"/>
      <c r="E993" s="448"/>
      <c r="F993" s="448"/>
      <c r="G993" s="448"/>
      <c r="H993" s="448"/>
      <c r="I993" s="448"/>
    </row>
    <row r="994" ht="15.75" customHeight="1">
      <c r="B994" s="448"/>
      <c r="C994" s="448"/>
      <c r="D994" s="448"/>
      <c r="E994" s="448"/>
      <c r="F994" s="448"/>
      <c r="G994" s="448"/>
      <c r="H994" s="448"/>
      <c r="I994" s="448"/>
    </row>
    <row r="995" ht="15.75" customHeight="1">
      <c r="B995" s="448"/>
      <c r="C995" s="448"/>
      <c r="D995" s="448"/>
      <c r="E995" s="448"/>
      <c r="F995" s="448"/>
      <c r="G995" s="448"/>
      <c r="H995" s="448"/>
      <c r="I995" s="448"/>
    </row>
    <row r="996" ht="15.75" customHeight="1">
      <c r="B996" s="448"/>
      <c r="C996" s="448"/>
      <c r="D996" s="448"/>
      <c r="E996" s="448"/>
      <c r="F996" s="448"/>
      <c r="G996" s="448"/>
      <c r="H996" s="448"/>
      <c r="I996" s="448"/>
    </row>
    <row r="997" ht="15.75" customHeight="1">
      <c r="B997" s="448"/>
      <c r="C997" s="448"/>
      <c r="D997" s="448"/>
      <c r="E997" s="448"/>
      <c r="F997" s="448"/>
      <c r="G997" s="448"/>
      <c r="H997" s="448"/>
      <c r="I997" s="448"/>
    </row>
    <row r="998" ht="15.75" customHeight="1">
      <c r="B998" s="448"/>
      <c r="C998" s="448"/>
      <c r="D998" s="448"/>
      <c r="E998" s="448"/>
      <c r="F998" s="448"/>
      <c r="G998" s="448"/>
      <c r="H998" s="448"/>
      <c r="I998" s="448"/>
    </row>
    <row r="999" ht="15.75" customHeight="1">
      <c r="B999" s="448"/>
      <c r="C999" s="448"/>
      <c r="D999" s="448"/>
      <c r="E999" s="448"/>
      <c r="F999" s="448"/>
      <c r="G999" s="448"/>
      <c r="H999" s="448"/>
      <c r="I999" s="448"/>
    </row>
    <row r="1000" ht="15.75" customHeight="1">
      <c r="B1000" s="448"/>
      <c r="C1000" s="448"/>
      <c r="D1000" s="448"/>
      <c r="E1000" s="448"/>
      <c r="F1000" s="448"/>
      <c r="G1000" s="448"/>
      <c r="H1000" s="448"/>
      <c r="I1000" s="448"/>
    </row>
  </sheetData>
  <mergeCells count="2">
    <mergeCell ref="J6:K6"/>
    <mergeCell ref="G13:H1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4.44"/>
    <col customWidth="1" min="2" max="2" width="11.0"/>
    <col customWidth="1" min="3" max="26" width="11.44"/>
  </cols>
  <sheetData>
    <row r="1" ht="15.75" customHeight="1">
      <c r="A1" s="161" t="s">
        <v>311</v>
      </c>
    </row>
    <row r="2" ht="15.75" customHeight="1">
      <c r="A2" s="505" t="s">
        <v>312</v>
      </c>
      <c r="B2" s="505" t="s">
        <v>313</v>
      </c>
      <c r="C2" s="505" t="s">
        <v>314</v>
      </c>
      <c r="D2" s="505" t="s">
        <v>315</v>
      </c>
      <c r="E2" s="505" t="s">
        <v>316</v>
      </c>
      <c r="F2" s="505" t="s">
        <v>317</v>
      </c>
      <c r="G2" s="35"/>
    </row>
    <row r="3" ht="15.75" customHeight="1">
      <c r="A3" s="505" t="s">
        <v>318</v>
      </c>
      <c r="B3" s="505">
        <v>0.41</v>
      </c>
      <c r="C3" s="45">
        <v>0.579</v>
      </c>
      <c r="D3" s="45">
        <v>0.26</v>
      </c>
      <c r="E3" s="505">
        <v>0.2</v>
      </c>
      <c r="F3" s="506">
        <v>0.47</v>
      </c>
      <c r="G3" s="35"/>
    </row>
    <row r="4" ht="15.75" customHeight="1">
      <c r="A4" s="505" t="s">
        <v>319</v>
      </c>
      <c r="B4" s="505">
        <v>0.56</v>
      </c>
      <c r="C4" s="45">
        <v>0.386</v>
      </c>
      <c r="D4" s="45">
        <v>0.21</v>
      </c>
      <c r="E4" s="505">
        <v>0.37</v>
      </c>
      <c r="F4" s="506">
        <v>0.58</v>
      </c>
      <c r="G4" s="35"/>
    </row>
    <row r="5" ht="15.75" customHeight="1">
      <c r="A5" s="505" t="s">
        <v>320</v>
      </c>
      <c r="B5" s="505">
        <v>0.47</v>
      </c>
      <c r="C5" s="45">
        <v>0.12</v>
      </c>
      <c r="D5" s="45">
        <v>0.29</v>
      </c>
      <c r="E5" s="505">
        <v>0.43</v>
      </c>
      <c r="F5" s="506">
        <v>0.62</v>
      </c>
      <c r="G5" s="35"/>
    </row>
    <row r="6" ht="15.75" customHeight="1">
      <c r="A6" s="505" t="s">
        <v>321</v>
      </c>
      <c r="B6" s="505">
        <v>0.15</v>
      </c>
      <c r="C6" s="45">
        <v>0.0</v>
      </c>
      <c r="D6" s="45">
        <v>0.24</v>
      </c>
      <c r="E6" s="505">
        <v>0.15</v>
      </c>
      <c r="F6" s="506">
        <v>0.44</v>
      </c>
      <c r="G6" s="35"/>
    </row>
    <row r="7" ht="15.75" customHeight="1">
      <c r="A7" s="505" t="s">
        <v>322</v>
      </c>
      <c r="B7" s="505">
        <v>0.6</v>
      </c>
      <c r="C7" s="45">
        <v>0.229</v>
      </c>
      <c r="D7" s="45">
        <v>0.36</v>
      </c>
      <c r="E7" s="505">
        <v>0.51</v>
      </c>
      <c r="F7" s="506">
        <v>0.67</v>
      </c>
      <c r="G7" s="35"/>
    </row>
    <row r="8" ht="15.75" customHeight="1">
      <c r="A8" s="507" t="s">
        <v>323</v>
      </c>
      <c r="B8" s="508">
        <v>0.52</v>
      </c>
      <c r="C8" s="509">
        <v>0.28</v>
      </c>
      <c r="D8" s="509">
        <v>0.28</v>
      </c>
      <c r="E8" s="507">
        <v>0.41</v>
      </c>
      <c r="F8" s="510">
        <v>0.6</v>
      </c>
      <c r="G8" s="35"/>
    </row>
    <row r="9" ht="15.75" customHeight="1">
      <c r="A9" s="35"/>
      <c r="B9" s="35"/>
      <c r="C9" s="35"/>
      <c r="D9" s="35"/>
      <c r="E9" s="35"/>
      <c r="F9" s="35"/>
      <c r="G9" s="35"/>
    </row>
    <row r="10" ht="15.75" customHeight="1">
      <c r="A10" s="507" t="s">
        <v>56</v>
      </c>
      <c r="B10" s="507">
        <v>0.45</v>
      </c>
      <c r="C10" s="509">
        <v>0.266</v>
      </c>
      <c r="D10" s="509">
        <v>0.273</v>
      </c>
      <c r="E10" s="507">
        <v>0.34</v>
      </c>
      <c r="F10" s="507">
        <v>0.56</v>
      </c>
      <c r="G10" s="35"/>
    </row>
    <row r="11" ht="15.75" customHeight="1">
      <c r="A11" s="35"/>
      <c r="B11" s="35"/>
    </row>
    <row r="12" ht="15.75" customHeight="1">
      <c r="B12" s="77" t="s">
        <v>326</v>
      </c>
      <c r="C12" s="77" t="s">
        <v>328</v>
      </c>
    </row>
    <row r="13" ht="15.75" customHeight="1">
      <c r="A13" s="77" t="s">
        <v>329</v>
      </c>
      <c r="B13" s="77">
        <v>0.55</v>
      </c>
      <c r="C13" s="77">
        <v>0.65</v>
      </c>
    </row>
    <row r="14" ht="15.75" customHeight="1">
      <c r="A14" s="77" t="s">
        <v>330</v>
      </c>
      <c r="B14" s="453">
        <v>0.2</v>
      </c>
      <c r="C14" s="453">
        <v>0.4</v>
      </c>
      <c r="E14" s="77" t="s">
        <v>332</v>
      </c>
      <c r="F14" s="77" t="s">
        <v>333</v>
      </c>
    </row>
    <row r="15" ht="15.75" customHeight="1">
      <c r="A15" s="77" t="s">
        <v>334</v>
      </c>
      <c r="B15" s="453">
        <v>0.8</v>
      </c>
      <c r="C15" s="453">
        <v>0.6</v>
      </c>
      <c r="E15" s="77">
        <v>0.76</v>
      </c>
      <c r="F15" s="77" t="s">
        <v>335</v>
      </c>
    </row>
    <row r="16" ht="15.75" customHeight="1">
      <c r="A16" s="77" t="s">
        <v>337</v>
      </c>
      <c r="B16" s="453">
        <v>0.3</v>
      </c>
      <c r="C16" s="453">
        <v>0.3</v>
      </c>
      <c r="E16" s="77">
        <v>0.81</v>
      </c>
      <c r="F16" s="512" t="s">
        <v>338</v>
      </c>
    </row>
    <row r="17" ht="15.75" customHeight="1">
      <c r="E17" s="77">
        <v>0.82</v>
      </c>
      <c r="F17" s="512" t="s">
        <v>41</v>
      </c>
    </row>
    <row r="18" ht="15.75" customHeight="1">
      <c r="A18" s="77" t="s">
        <v>346</v>
      </c>
      <c r="B18" s="77">
        <f t="shared" ref="B18:C18" si="1">ROUND(B13*(1+(1-B16)*(B14/B15)),2)</f>
        <v>0.65</v>
      </c>
      <c r="C18" s="77">
        <f t="shared" si="1"/>
        <v>0.95</v>
      </c>
      <c r="E18" s="111">
        <v>0.8</v>
      </c>
      <c r="F18" s="77" t="s">
        <v>350</v>
      </c>
    </row>
    <row r="19" ht="15.75" customHeight="1">
      <c r="A19" s="77" t="s">
        <v>56</v>
      </c>
      <c r="B19" s="111">
        <f>(B18+C18)/2</f>
        <v>0.8</v>
      </c>
      <c r="E19" s="77">
        <f>AVERAGE(E15:E18)</f>
        <v>0.7975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6"/>
    <hyperlink r:id="rId2" ref="F17"/>
  </hyperlinks>
  <printOptions/>
  <pageMargins bottom="0.75" footer="0.0" header="0.0" left="0.7" right="0.7" top="0.75"/>
  <pageSetup orientation="landscape"/>
  <drawing r:id="rId3"/>
</worksheet>
</file>