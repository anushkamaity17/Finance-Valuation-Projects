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ata" sheetId="1" r:id="rId5"/>
    <sheet state="hidden" name="EP Data" sheetId="2" r:id="rId6"/>
    <sheet state="visible" name="Earning Persistence Data" sheetId="3" r:id="rId7"/>
    <sheet state="visible" name="WDS Earnings Persistence" sheetId="4" r:id="rId8"/>
    <sheet state="visible" name="ALL Earnings Persistence" sheetId="5" r:id="rId9"/>
    <sheet state="visible" name="Earnings Predicatability" sheetId="6" r:id="rId10"/>
    <sheet state="visible" name="CFO vs Net Profit" sheetId="7" r:id="rId11"/>
  </sheets>
  <definedNames>
    <definedName localSheetId="1" name="Table1">'Earning Persistence Data'!$A$1:$H$67</definedName>
    <definedName name="Table1">'EP Data'!$A$1:$H$73</definedName>
    <definedName name="_xlfn_IFERROR">#REF!</definedName>
  </definedNames>
  <calcPr/>
</workbook>
</file>

<file path=xl/sharedStrings.xml><?xml version="1.0" encoding="utf-8"?>
<sst xmlns="http://schemas.openxmlformats.org/spreadsheetml/2006/main" count="1240" uniqueCount="97">
  <si>
    <t>SUMMARY OUTPUT</t>
  </si>
  <si>
    <t>Company Name</t>
  </si>
  <si>
    <t>Regression Statistics</t>
  </si>
  <si>
    <t>Year</t>
  </si>
  <si>
    <t>ASX CODE</t>
  </si>
  <si>
    <t>Cash &amp; Cash Eq</t>
  </si>
  <si>
    <t>Current Assets</t>
  </si>
  <si>
    <t>Current Liabilities</t>
  </si>
  <si>
    <t>Total Assets</t>
  </si>
  <si>
    <t>NI before Abnormals</t>
  </si>
  <si>
    <t>CFO</t>
  </si>
  <si>
    <t>Woodside Energy Group Ltd</t>
  </si>
  <si>
    <t>2000</t>
  </si>
  <si>
    <t>Multiple R</t>
  </si>
  <si>
    <t>Lag Total Assets</t>
  </si>
  <si>
    <t>WDS</t>
  </si>
  <si>
    <t>Earnings</t>
  </si>
  <si>
    <t>Lag Earnings</t>
  </si>
  <si>
    <t>WDS * Lag Earnings</t>
  </si>
  <si>
    <t>Earnings (ROA)</t>
  </si>
  <si>
    <t>R Square</t>
  </si>
  <si>
    <t>Lag Earnings (ROA)</t>
  </si>
  <si>
    <t>Adjusted R Square</t>
  </si>
  <si>
    <t>Standard Error</t>
  </si>
  <si>
    <t>2002</t>
  </si>
  <si>
    <t>Observations</t>
  </si>
  <si>
    <t>2001</t>
  </si>
  <si>
    <t>ANOVA</t>
  </si>
  <si>
    <t>df</t>
  </si>
  <si>
    <t>SS</t>
  </si>
  <si>
    <t>MS</t>
  </si>
  <si>
    <t>F</t>
  </si>
  <si>
    <t>Significance F</t>
  </si>
  <si>
    <t>Regression</t>
  </si>
  <si>
    <t>2003</t>
  </si>
  <si>
    <t>Residual</t>
  </si>
  <si>
    <t>Total</t>
  </si>
  <si>
    <t>2004</t>
  </si>
  <si>
    <t>Coefficients</t>
  </si>
  <si>
    <t>t Stat</t>
  </si>
  <si>
    <t>P-value</t>
  </si>
  <si>
    <t>Lower 95%</t>
  </si>
  <si>
    <t>Upper 95%</t>
  </si>
  <si>
    <t>2005</t>
  </si>
  <si>
    <t>Lower 95.0%</t>
  </si>
  <si>
    <t>Upper 95.0%</t>
  </si>
  <si>
    <t>Intercept</t>
  </si>
  <si>
    <t>2006</t>
  </si>
  <si>
    <t>2007</t>
  </si>
  <si>
    <t>2008</t>
  </si>
  <si>
    <t>2009</t>
  </si>
  <si>
    <t>2010</t>
  </si>
  <si>
    <t>RESIDUAL OUTPUT</t>
  </si>
  <si>
    <t>Observation</t>
  </si>
  <si>
    <t>Predicted Y</t>
  </si>
  <si>
    <t>2011</t>
  </si>
  <si>
    <t>Residuals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</si>
  <si>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</si>
  <si>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</si>
  <si>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</si>
  <si>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</si>
  <si>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</si>
  <si>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</si>
  <si>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</si>
  <si>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</si>
  <si>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</si>
  <si>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</si>
  <si>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</si>
  <si>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</si>
  <si>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</si>
  <si>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Santos Limited</t>
  </si>
  <si>
    <t>STO</t>
  </si>
  <si>
    <t>Beach Energy Limited</t>
  </si>
  <si>
    <t>BPT</t>
  </si>
  <si>
    <t>Origin Energy Limited</t>
  </si>
  <si>
    <t>ORG</t>
  </si>
  <si>
    <t>Predicted Earnings (ROA)</t>
  </si>
  <si>
    <t>Industry Residual</t>
  </si>
  <si>
    <t>WDS Residual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</si>
  <si>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</si>
  <si>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</si>
  <si>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</si>
  <si>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</si>
  <si>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</si>
  <si>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</si>
  <si>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</si>
  <si>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</si>
  <si>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</si>
  <si>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</si>
  <si>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</si>
  <si>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</si>
  <si>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F-Test Two-Sample for Variances</t>
  </si>
  <si>
    <t>Variance</t>
  </si>
  <si>
    <t>P(F&lt;=f) one-tail</t>
  </si>
  <si>
    <t>F Critical one-tail</t>
  </si>
  <si>
    <t>Difference (CFO - NPAT)</t>
  </si>
  <si>
    <t>Ratio (CFO/NPAT)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</si>
</sst>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"/>
  </numFmts>
  <fonts count="8">
    <font>
      <sz val="12.0"/>
      <color rgb="FF000000"/>
      <name val="Aptos Narrow"/>
      <scheme val="minor"/>
    </font>
    <font>
      <color theme="1"/>
      <name val="Aptos Narrow"/>
      <scheme val="minor"/>
    </font>
    <font>
      <b/>
      <sz val="12.0"/>
      <color rgb="FFFFFFFF"/>
      <name val="Aptos Narrow"/>
    </font>
    <font>
      <i/>
      <sz val="12.0"/>
      <color rgb="FF000000"/>
      <name val="Aptos Narrow"/>
    </font>
    <font/>
    <font>
      <sz val="12.0"/>
      <color rgb="FF000000"/>
      <name val="Aptos Narrow"/>
    </font>
    <font>
      <b/>
      <sz val="11.0"/>
      <color rgb="FF000000"/>
      <name val="Calibri"/>
    </font>
    <font>
      <b/>
      <sz val="12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C0C0C0"/>
        <bgColor rgb="FFC0C0C0"/>
      </patternFill>
    </fill>
  </fills>
  <borders count="4">
    <border/>
    <border>
      <left/>
      <right/>
      <top/>
      <bottom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2" fillId="0" fontId="4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1" fillId="3" fontId="6" numFmtId="0" xfId="0" applyAlignment="1" applyBorder="1" applyFill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bottom" wrapText="0"/>
    </xf>
    <xf borderId="3" fillId="0" fontId="5" numFmtId="164" xfId="0" applyAlignment="1" applyBorder="1" applyFont="1" applyNumberFormat="1">
      <alignment shrinkToFit="0" vertical="bottom" wrapText="0"/>
    </xf>
    <xf borderId="0" fillId="0" fontId="1" numFmtId="4" xfId="0" applyFont="1" applyNumberFormat="1"/>
    <xf borderId="3" fillId="0" fontId="5" numFmtId="0" xfId="0" applyAlignment="1" applyBorder="1" applyFont="1">
      <alignment horizontal="center" shrinkToFit="0" vertical="bottom" wrapText="0"/>
    </xf>
    <xf borderId="0" fillId="0" fontId="5" numFmtId="164" xfId="0" applyAlignment="1" applyFont="1" applyNumberFormat="1">
      <alignment horizontal="center" shrinkToFit="0" vertical="bottom" wrapText="0"/>
    </xf>
    <xf borderId="3" fillId="0" fontId="5" numFmtId="164" xfId="0" applyAlignment="1" applyBorder="1" applyFont="1" applyNumberFormat="1">
      <alignment horizontal="center" shrinkToFit="0" vertical="bottom" wrapText="0"/>
    </xf>
    <xf borderId="2" fillId="0" fontId="3" numFmtId="165" xfId="0" applyAlignment="1" applyBorder="1" applyFont="1" applyNumberFormat="1">
      <alignment horizontal="center" shrinkToFit="0" vertical="bottom" wrapText="0"/>
    </xf>
    <xf borderId="0" fillId="0" fontId="5" numFmtId="165" xfId="0" applyAlignment="1" applyFont="1" applyNumberFormat="1">
      <alignment shrinkToFit="0" vertical="bottom" wrapText="0"/>
    </xf>
    <xf borderId="3" fillId="0" fontId="5" numFmtId="165" xfId="0" applyAlignment="1" applyBorder="1" applyFont="1" applyNumberFormat="1">
      <alignment shrinkToFit="0" vertical="bottom" wrapText="0"/>
    </xf>
    <xf borderId="3" fillId="0" fontId="5" numFmtId="1" xfId="0" applyAlignment="1" applyBorder="1" applyFont="1" applyNumberFormat="1">
      <alignment shrinkToFit="0" vertical="bottom" wrapText="0"/>
    </xf>
    <xf borderId="1" fillId="2" fontId="2" numFmtId="2" xfId="0" applyAlignment="1" applyBorder="1" applyFill="1" applyFont="1" applyNumberFormat="1">
      <alignment horizontal="center"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333333"/>
                </a:solidFill>
                <a:latin typeface="Arial"/>
              </a:defRPr>
            </a:pPr>
            <a:r>
              <a:rPr b="0" i="0" sz="1400">
                <a:solidFill>
                  <a:srgbClr val="333333"/>
                </a:solidFill>
                <a:latin typeface="Arial"/>
              </a:rPr>
              <a:t>WDS CFO to NPAT trend (2000-2024)</a:t>
            </a:r>
          </a:p>
        </c:rich>
      </c:tx>
      <c:layout>
        <c:manualLayout>
          <c:xMode val="edge"/>
          <c:yMode val="edge"/>
          <c:x val="0.323778195488722"/>
          <c:y val="0.0246837868915293"/>
        </c:manualLayout>
      </c:layout>
      <c:overlay val="0"/>
    </c:title>
    <c:plotArea>
      <c:layout>
        <c:manualLayout>
          <c:xMode val="edge"/>
          <c:yMode val="edge"/>
          <c:x val="0.0100563909774436"/>
          <c:y val="0.0866998850134151"/>
          <c:w val="0.977020676691729"/>
          <c:h val="0.913300114986585"/>
        </c:manualLayout>
      </c:layout>
      <c:lineChart>
        <c:varyColors val="0"/>
        <c:ser>
          <c:idx val="0"/>
          <c:order val="0"/>
          <c:tx>
            <c:v>WDS CFO to NPAT trend (2000-2024)</c:v>
          </c:tx>
          <c:spPr>
            <a:ln cmpd="sng" w="19050">
              <a:solidFill>
                <a:srgbClr val="00808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008080">
                  <a:alpha val="100000"/>
                </a:srgbClr>
              </a:solidFill>
              <a:ln cmpd="sng">
                <a:solidFill>
                  <a:srgbClr val="00808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'CFO vs Net Profit'!$B$2:$B$26</c:f>
            </c:strRef>
          </c:cat>
          <c:val>
            <c:numRef>
              <c:f>'CFO vs Net Profit'!$G$2:$G$26</c:f>
              <c:numCache/>
            </c:numRef>
          </c:val>
          <c:smooth val="0"/>
        </c:ser>
        <c:axId val="2136297751"/>
        <c:axId val="394804696"/>
      </c:lineChart>
      <c:catAx>
        <c:axId val="2136297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394804696"/>
      </c:catAx>
      <c:valAx>
        <c:axId val="394804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2136297751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333333"/>
                </a:solidFill>
                <a:latin typeface="Arial"/>
              </a:defRPr>
            </a:pPr>
            <a:r>
              <a:rPr b="0" i="0" sz="1400">
                <a:solidFill>
                  <a:srgbClr val="333333"/>
                </a:solidFill>
                <a:latin typeface="Arial"/>
              </a:rPr>
              <a:t>CFO/NPAT Ratio Trend (2015–2024) – WDS, STO, BPT, ORG</a:t>
            </a:r>
          </a:p>
        </c:rich>
      </c:tx>
      <c:layout>
        <c:manualLayout>
          <c:xMode val="edge"/>
          <c:yMode val="edge"/>
          <c:x val="0.21748847604414"/>
          <c:y val="0.0357538189063538"/>
        </c:manualLayout>
      </c:layout>
      <c:overlay val="0"/>
    </c:title>
    <c:plotArea>
      <c:layout>
        <c:manualLayout>
          <c:xMode val="edge"/>
          <c:yMode val="edge"/>
          <c:x val="0.0101969548819668"/>
          <c:y val="0.128735886650432"/>
          <c:w val="0.975927736648508"/>
          <c:h val="0.778392738543281"/>
        </c:manualLayout>
      </c:layout>
      <c:barChart>
        <c:barDir val="col"/>
        <c:ser>
          <c:idx val="0"/>
          <c:order val="0"/>
          <c:tx>
            <c:v>WDS</c:v>
          </c:tx>
          <c:spPr>
            <a:solidFill>
              <a:srgbClr val="008080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'CFO vs Net Profit'!$T$3:$T$12</c:f>
            </c:strRef>
          </c:cat>
          <c:val>
            <c:numRef>
              <c:f>'CFO vs Net Profit'!$U$3:$U$12</c:f>
              <c:numCache/>
            </c:numRef>
          </c:val>
        </c:ser>
        <c:ser>
          <c:idx val="1"/>
          <c:order val="1"/>
          <c:tx>
            <c:v>STO</c:v>
          </c:tx>
          <c:spPr>
            <a:solidFill>
              <a:srgbClr val="FF6600"/>
            </a:solidFill>
            <a:ln cmpd="sng">
              <a:noFill/>
            </a:ln>
          </c:spPr>
          <c:invertIfNegative val="0"/>
          <c:cat>
            <c:strRef>
              <c:f>'CFO vs Net Profit'!$T$3:$T$12</c:f>
            </c:strRef>
          </c:cat>
          <c:val>
            <c:numRef>
              <c:f>'CFO vs Net Profit'!$V$3:$V$12</c:f>
              <c:numCache/>
            </c:numRef>
          </c:val>
        </c:ser>
        <c:ser>
          <c:idx val="2"/>
          <c:order val="2"/>
          <c:tx>
            <c:v>BPT</c:v>
          </c:tx>
          <c:spPr>
            <a:solidFill>
              <a:srgbClr val="008000"/>
            </a:solidFill>
            <a:ln cmpd="sng">
              <a:noFill/>
            </a:ln>
          </c:spPr>
          <c:invertIfNegative val="0"/>
          <c:cat>
            <c:strRef>
              <c:f>'CFO vs Net Profit'!$T$3:$T$12</c:f>
            </c:strRef>
          </c:cat>
          <c:val>
            <c:numRef>
              <c:f>'CFO vs Net Profit'!$W$3:$W$12</c:f>
              <c:numCache/>
            </c:numRef>
          </c:val>
        </c:ser>
        <c:ser>
          <c:idx val="3"/>
          <c:order val="3"/>
          <c:tx>
            <c:v>ORG</c:v>
          </c:tx>
          <c:spPr>
            <a:solidFill>
              <a:srgbClr val="0066CC"/>
            </a:solidFill>
            <a:ln cmpd="sng">
              <a:noFill/>
            </a:ln>
          </c:spPr>
          <c:invertIfNegative val="0"/>
          <c:cat>
            <c:strRef>
              <c:f>'CFO vs Net Profit'!$T$3:$T$12</c:f>
            </c:strRef>
          </c:cat>
          <c:val>
            <c:numRef>
              <c:f>'CFO vs Net Profit'!$X$3:$X$12</c:f>
              <c:numCache/>
            </c:numRef>
          </c:val>
        </c:ser>
        <c:axId val="441241209"/>
        <c:axId val="1714192981"/>
      </c:barChart>
      <c:catAx>
        <c:axId val="441241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1714192981"/>
      </c:catAx>
      <c:valAx>
        <c:axId val="1714192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"/>
              </a:defRPr>
            </a:pPr>
          </a:p>
        </c:txPr>
        <c:crossAx val="441241209"/>
      </c:valAx>
    </c:plotArea>
    <c:legend>
      <c:legendPos val="r"/>
      <c:layout>
        <c:manualLayout>
          <c:xMode val="edge"/>
          <c:yMode val="edge"/>
          <c:x val="0.40671415933324"/>
          <c:y val="0.891520920965242"/>
        </c:manualLayout>
      </c:layout>
      <c:overlay val="0"/>
      <c:txPr>
        <a:bodyPr/>
        <a:lstStyle/>
        <a:p>
          <a:pPr lvl="0">
            <a:defRPr b="0" i="0" sz="900">
              <a:solidFill>
                <a:srgbClr val="333333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19050</xdr:rowOff>
    </xdr:from>
    <xdr:ext cx="9315450" cy="45624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666750</xdr:colOff>
      <xdr:row>26</xdr:row>
      <xdr:rowOff>133350</xdr:rowOff>
    </xdr:from>
    <xdr:ext cx="9382125" cy="3152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33"/>
    <col customWidth="1" min="2" max="3" width="10.78"/>
    <col customWidth="1" min="4" max="4" width="18.0"/>
    <col customWidth="1" min="5" max="7" width="19.33"/>
    <col customWidth="1" min="8" max="8" width="20.11"/>
    <col customWidth="1" min="9" max="9" width="19.33"/>
    <col customWidth="1" min="10" max="26" width="8.56"/>
  </cols>
  <sheetData>
    <row r="1" ht="16.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ht="16.5" customHeight="1">
      <c r="A2" s="5" t="s">
        <v>11</v>
      </c>
      <c r="B2" s="6" t="s">
        <v>12</v>
      </c>
      <c r="C2" s="5" t="s">
        <v>15</v>
      </c>
      <c r="D2" s="8">
        <v>3.05138E8</v>
      </c>
      <c r="E2" s="8">
        <v>1.275204E9</v>
      </c>
      <c r="F2" s="8">
        <v>1.810651E9</v>
      </c>
      <c r="G2" s="8">
        <v>5.968798E9</v>
      </c>
      <c r="H2" s="8">
        <v>9.66637E8</v>
      </c>
      <c r="I2" s="8">
        <v>1.516456E9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6.5" customHeight="1">
      <c r="A3" s="5" t="s">
        <v>11</v>
      </c>
      <c r="B3" s="6" t="s">
        <v>26</v>
      </c>
      <c r="C3" s="5" t="s">
        <v>15</v>
      </c>
      <c r="D3" s="8">
        <v>1.60556E8</v>
      </c>
      <c r="E3" s="8">
        <v>8.36629E8</v>
      </c>
      <c r="F3" s="8">
        <v>1.014595E9</v>
      </c>
      <c r="G3" s="8">
        <v>6.114866E9</v>
      </c>
      <c r="H3" s="8">
        <v>8.17824E8</v>
      </c>
      <c r="I3" s="8">
        <v>1.108388E9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6.5" customHeight="1">
      <c r="A4" s="5" t="s">
        <v>11</v>
      </c>
      <c r="B4" s="6" t="s">
        <v>24</v>
      </c>
      <c r="C4" s="5" t="s">
        <v>15</v>
      </c>
      <c r="D4" s="8">
        <v>1.55352E8</v>
      </c>
      <c r="E4" s="8">
        <v>6.16504E8</v>
      </c>
      <c r="F4" s="8">
        <v>5.96778E8</v>
      </c>
      <c r="G4" s="8">
        <v>5.010568E9</v>
      </c>
      <c r="H4" s="8">
        <v>7.29404E8</v>
      </c>
      <c r="I4" s="8">
        <v>1.206851E9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6.5" customHeight="1">
      <c r="A5" s="5" t="s">
        <v>11</v>
      </c>
      <c r="B5" s="6" t="s">
        <v>34</v>
      </c>
      <c r="C5" s="5" t="s">
        <v>15</v>
      </c>
      <c r="D5" s="8">
        <v>1.77601E8</v>
      </c>
      <c r="E5" s="8">
        <v>5.36951E8</v>
      </c>
      <c r="F5" s="8">
        <v>5.78586E8</v>
      </c>
      <c r="G5" s="8">
        <v>4.782299E9</v>
      </c>
      <c r="H5" s="8">
        <v>5.26685E8</v>
      </c>
      <c r="I5" s="8">
        <v>1.202873E9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6.5" customHeight="1">
      <c r="A6" s="5" t="s">
        <v>11</v>
      </c>
      <c r="B6" s="6" t="s">
        <v>37</v>
      </c>
      <c r="C6" s="5" t="s">
        <v>15</v>
      </c>
      <c r="D6" s="8">
        <v>7.32163E8</v>
      </c>
      <c r="E6" s="8">
        <v>1.243058E9</v>
      </c>
      <c r="F6" s="8">
        <v>4.78769E8</v>
      </c>
      <c r="G6" s="8">
        <v>5.569535E9</v>
      </c>
      <c r="H6" s="8">
        <v>6.50895E8</v>
      </c>
      <c r="I6" s="8">
        <v>1.318114E9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6.5" customHeight="1">
      <c r="A7" s="5" t="s">
        <v>11</v>
      </c>
      <c r="B7" s="6" t="s">
        <v>43</v>
      </c>
      <c r="C7" s="5" t="s">
        <v>15</v>
      </c>
      <c r="D7" s="8">
        <v>2.32904E8</v>
      </c>
      <c r="E7" s="8">
        <v>7.32133E8</v>
      </c>
      <c r="F7" s="8">
        <v>9.3244E8</v>
      </c>
      <c r="G7" s="8">
        <v>6.969377E9</v>
      </c>
      <c r="H7" s="8">
        <v>9.42727E8</v>
      </c>
      <c r="I7" s="8">
        <v>1.714668E9</v>
      </c>
    </row>
    <row r="8" ht="16.5" customHeight="1">
      <c r="A8" s="5" t="s">
        <v>11</v>
      </c>
      <c r="B8" s="6" t="s">
        <v>47</v>
      </c>
      <c r="C8" s="5" t="s">
        <v>15</v>
      </c>
      <c r="D8" s="8">
        <v>3.137E8</v>
      </c>
      <c r="E8" s="8">
        <v>1.2014E9</v>
      </c>
      <c r="F8" s="8">
        <v>1.3862E9</v>
      </c>
      <c r="G8" s="8">
        <v>8.9687E9</v>
      </c>
      <c r="H8" s="8">
        <v>1.3959E9</v>
      </c>
      <c r="I8" s="8">
        <v>2.3487E9</v>
      </c>
    </row>
    <row r="9" ht="16.5" customHeight="1">
      <c r="A9" s="5" t="s">
        <v>11</v>
      </c>
      <c r="B9" s="6" t="s">
        <v>48</v>
      </c>
      <c r="C9" s="5" t="s">
        <v>15</v>
      </c>
      <c r="D9" s="8">
        <v>1.38E8</v>
      </c>
      <c r="E9" s="8">
        <v>7.964E8</v>
      </c>
      <c r="F9" s="8">
        <v>1.9645E9</v>
      </c>
      <c r="G9" s="8">
        <v>9.73E9</v>
      </c>
      <c r="H9" s="8">
        <v>1.39933E9</v>
      </c>
      <c r="I9" s="8">
        <v>2.9671E9</v>
      </c>
    </row>
    <row r="10" ht="16.5" customHeight="1">
      <c r="A10" s="5" t="s">
        <v>11</v>
      </c>
      <c r="B10" s="6" t="s">
        <v>49</v>
      </c>
      <c r="C10" s="5" t="s">
        <v>15</v>
      </c>
      <c r="D10" s="8">
        <v>1.41E8</v>
      </c>
      <c r="E10" s="8">
        <v>8.45E8</v>
      </c>
      <c r="F10" s="8">
        <v>2.363E9</v>
      </c>
      <c r="G10" s="8">
        <v>1.4929E10</v>
      </c>
      <c r="H10" s="8">
        <v>1.786E9</v>
      </c>
      <c r="I10" s="8">
        <v>3.784E9</v>
      </c>
    </row>
    <row r="11" ht="16.5" customHeight="1">
      <c r="A11" s="5" t="s">
        <v>11</v>
      </c>
      <c r="B11" s="6" t="s">
        <v>50</v>
      </c>
      <c r="C11" s="5" t="s">
        <v>15</v>
      </c>
      <c r="D11" s="8">
        <v>1.351E9</v>
      </c>
      <c r="E11" s="8">
        <v>2.708E9</v>
      </c>
      <c r="F11" s="8">
        <v>1.768E9</v>
      </c>
      <c r="G11" s="8">
        <v>1.9874E10</v>
      </c>
      <c r="H11" s="8">
        <v>1.3648E9</v>
      </c>
      <c r="I11" s="8">
        <v>1.859E9</v>
      </c>
    </row>
    <row r="12" ht="16.5" customHeight="1">
      <c r="A12" s="5" t="s">
        <v>11</v>
      </c>
      <c r="B12" s="6" t="s">
        <v>51</v>
      </c>
      <c r="C12" s="5" t="s">
        <v>15</v>
      </c>
      <c r="D12" s="8">
        <v>9.47554855E8</v>
      </c>
      <c r="E12" s="8">
        <v>1.553675095E9</v>
      </c>
      <c r="F12" s="8">
        <v>1.810489028E9</v>
      </c>
      <c r="G12" s="8">
        <v>1.9872085014E10</v>
      </c>
      <c r="H12" s="8">
        <v>1.397225228E9</v>
      </c>
      <c r="I12" s="8">
        <v>2.070254846E9</v>
      </c>
    </row>
    <row r="13" ht="16.5" customHeight="1">
      <c r="A13" s="5" t="s">
        <v>11</v>
      </c>
      <c r="B13" s="6" t="s">
        <v>55</v>
      </c>
      <c r="C13" s="5" t="s">
        <v>15</v>
      </c>
      <c r="D13" s="8">
        <v>4.0370224E7</v>
      </c>
      <c r="E13" s="8">
        <v>9.98424576E8</v>
      </c>
      <c r="F13" s="8">
        <v>2.374950768E9</v>
      </c>
      <c r="G13" s="8">
        <v>2.2390705001E10</v>
      </c>
      <c r="H13" s="8">
        <v>1.631547853E9</v>
      </c>
      <c r="I13" s="8">
        <v>2.207562032E9</v>
      </c>
    </row>
    <row r="14" ht="16.5" customHeight="1">
      <c r="A14" s="5" t="s">
        <v>11</v>
      </c>
      <c r="B14" s="6" t="s">
        <v>57</v>
      </c>
      <c r="C14" s="5" t="s">
        <v>15</v>
      </c>
      <c r="D14" s="8">
        <v>2.332434514E9</v>
      </c>
      <c r="E14" s="8">
        <v>3.167372881E9</v>
      </c>
      <c r="F14" s="8">
        <v>2.277542372E9</v>
      </c>
      <c r="G14" s="8">
        <v>2.3892526964E10</v>
      </c>
      <c r="H14" s="8">
        <v>2.043528505E9</v>
      </c>
      <c r="I14" s="8">
        <v>3.346494607E9</v>
      </c>
    </row>
    <row r="15" ht="16.5" customHeight="1">
      <c r="A15" s="5" t="s">
        <v>11</v>
      </c>
      <c r="B15" s="6" t="s">
        <v>58</v>
      </c>
      <c r="C15" s="5" t="s">
        <v>15</v>
      </c>
      <c r="D15" s="8">
        <v>2.484354045E9</v>
      </c>
      <c r="E15" s="8">
        <v>3.235359856E9</v>
      </c>
      <c r="F15" s="8">
        <v>2.641931157E9</v>
      </c>
      <c r="G15" s="8">
        <v>2.656459544E10</v>
      </c>
      <c r="H15" s="8">
        <v>1.974742959E9</v>
      </c>
      <c r="I15" s="8">
        <v>3.721502011E9</v>
      </c>
    </row>
    <row r="16" ht="16.5" customHeight="1">
      <c r="A16" s="5" t="s">
        <v>11</v>
      </c>
      <c r="B16" s="6" t="s">
        <v>59</v>
      </c>
      <c r="C16" s="5" t="s">
        <v>15</v>
      </c>
      <c r="D16" s="8">
        <v>3.98439405E9</v>
      </c>
      <c r="E16" s="8">
        <v>4.928066325E9</v>
      </c>
      <c r="F16" s="8">
        <v>2.366495976E9</v>
      </c>
      <c r="G16" s="8">
        <v>2.9361131431E10</v>
      </c>
      <c r="H16" s="8">
        <v>3.067544501E9</v>
      </c>
      <c r="I16" s="8">
        <v>5.83394294E9</v>
      </c>
    </row>
    <row r="17" ht="16.5" customHeight="1">
      <c r="A17" s="5" t="s">
        <v>11</v>
      </c>
      <c r="B17" s="6" t="s">
        <v>60</v>
      </c>
      <c r="C17" s="5" t="s">
        <v>15</v>
      </c>
      <c r="D17" s="8">
        <v>1.66986038E8</v>
      </c>
      <c r="E17" s="8">
        <v>1.476868327E9</v>
      </c>
      <c r="F17" s="8">
        <v>1.784834382E9</v>
      </c>
      <c r="G17" s="8">
        <v>3.2629345743E10</v>
      </c>
      <c r="H17" s="8">
        <v>1.637010676E9</v>
      </c>
      <c r="I17" s="8">
        <v>3.252121543E9</v>
      </c>
    </row>
    <row r="18" ht="16.5" customHeight="1">
      <c r="A18" s="5" t="s">
        <v>11</v>
      </c>
      <c r="B18" s="6" t="s">
        <v>61</v>
      </c>
      <c r="C18" s="5" t="s">
        <v>15</v>
      </c>
      <c r="D18" s="8">
        <v>3.93864013E8</v>
      </c>
      <c r="E18" s="8">
        <v>1.586511885E9</v>
      </c>
      <c r="F18" s="8">
        <v>1.330845771E9</v>
      </c>
      <c r="G18" s="8">
        <v>3.4550856826E10</v>
      </c>
      <c r="H18" s="8">
        <v>1.344665561E9</v>
      </c>
      <c r="I18" s="8">
        <v>3.575179657E9</v>
      </c>
    </row>
    <row r="19" ht="16.5" customHeight="1">
      <c r="A19" s="5" t="s">
        <v>11</v>
      </c>
      <c r="B19" s="6" t="s">
        <v>62</v>
      </c>
      <c r="C19" s="5" t="s">
        <v>15</v>
      </c>
      <c r="D19" s="8">
        <v>4.07692307E8</v>
      </c>
      <c r="E19" s="8">
        <v>1.298717948E9</v>
      </c>
      <c r="F19" s="8">
        <v>1.394871794E9</v>
      </c>
      <c r="G19" s="8">
        <v>3.2565384615E10</v>
      </c>
      <c r="H19" s="8">
        <v>1.435897435E9</v>
      </c>
      <c r="I19" s="8">
        <v>3.076923076E9</v>
      </c>
    </row>
    <row r="20" ht="16.5" customHeight="1">
      <c r="A20" s="5" t="s">
        <v>11</v>
      </c>
      <c r="B20" s="6" t="s">
        <v>63</v>
      </c>
      <c r="C20" s="5" t="s">
        <v>15</v>
      </c>
      <c r="D20" s="8">
        <v>2.371776707E9</v>
      </c>
      <c r="E20" s="8">
        <v>3.415981864E9</v>
      </c>
      <c r="F20" s="8">
        <v>1.480589402E9</v>
      </c>
      <c r="G20" s="8">
        <v>3.8379144233E10</v>
      </c>
      <c r="H20" s="8">
        <v>2.136582601E9</v>
      </c>
      <c r="I20" s="8">
        <v>4.669878152E9</v>
      </c>
    </row>
    <row r="21" ht="16.5" customHeight="1">
      <c r="A21" s="5" t="s">
        <v>11</v>
      </c>
      <c r="B21" s="6" t="s">
        <v>64</v>
      </c>
      <c r="C21" s="5" t="s">
        <v>15</v>
      </c>
      <c r="D21" s="8">
        <v>5.792178133E9</v>
      </c>
      <c r="E21" s="8">
        <v>6.632886097E9</v>
      </c>
      <c r="F21" s="8">
        <v>1.614330573E9</v>
      </c>
      <c r="G21" s="8">
        <v>4.1896945475E10</v>
      </c>
      <c r="H21" s="8">
        <v>5.69511846E8</v>
      </c>
      <c r="I21" s="8">
        <v>4.717385098E9</v>
      </c>
    </row>
    <row r="22" ht="16.5" customHeight="1">
      <c r="A22" s="5" t="s">
        <v>11</v>
      </c>
      <c r="B22" s="6" t="s">
        <v>65</v>
      </c>
      <c r="C22" s="5" t="s">
        <v>15</v>
      </c>
      <c r="D22" s="8">
        <v>4.679304076E9</v>
      </c>
      <c r="E22" s="8">
        <v>5.520643988E9</v>
      </c>
      <c r="F22" s="8">
        <v>2.718774344E9</v>
      </c>
      <c r="G22" s="8">
        <v>3.196961828E10</v>
      </c>
      <c r="H22" s="8">
        <v>-5.13113477E9</v>
      </c>
      <c r="I22" s="8">
        <v>2.400675149E9</v>
      </c>
    </row>
    <row r="23" ht="16.5" customHeight="1">
      <c r="A23" s="5" t="s">
        <v>11</v>
      </c>
      <c r="B23" s="6" t="s">
        <v>66</v>
      </c>
      <c r="C23" s="5" t="s">
        <v>15</v>
      </c>
      <c r="D23" s="8">
        <v>4.168963616E9</v>
      </c>
      <c r="E23" s="8">
        <v>5.895810363E9</v>
      </c>
      <c r="F23" s="8">
        <v>3.61356119E9</v>
      </c>
      <c r="G23" s="8">
        <v>3.6485667034E10</v>
      </c>
      <c r="H23" s="8">
        <v>2.805953693E9</v>
      </c>
      <c r="I23" s="8">
        <v>5.226019845E9</v>
      </c>
    </row>
    <row r="24" ht="16.5" customHeight="1">
      <c r="A24" s="5" t="s">
        <v>11</v>
      </c>
      <c r="B24" s="6" t="s">
        <v>67</v>
      </c>
      <c r="C24" s="5" t="s">
        <v>15</v>
      </c>
      <c r="D24" s="8">
        <v>9.152767527E9</v>
      </c>
      <c r="E24" s="8">
        <v>1.3712177121E10</v>
      </c>
      <c r="F24" s="8">
        <v>1.0137269372E10</v>
      </c>
      <c r="G24" s="8">
        <v>8.7558671586E10</v>
      </c>
      <c r="H24" s="8">
        <v>9.704797047E9</v>
      </c>
      <c r="I24" s="8">
        <v>1.3005166051E10</v>
      </c>
    </row>
    <row r="25" ht="16.5" customHeight="1">
      <c r="A25" s="5" t="s">
        <v>11</v>
      </c>
      <c r="B25" s="6" t="s">
        <v>68</v>
      </c>
      <c r="C25" s="5" t="s">
        <v>15</v>
      </c>
      <c r="D25" s="8">
        <v>2.543859649E9</v>
      </c>
      <c r="E25" s="8">
        <v>7.48245614E9</v>
      </c>
      <c r="F25" s="8">
        <v>7.28362573E9</v>
      </c>
      <c r="G25" s="8">
        <v>8.0937134502E10</v>
      </c>
      <c r="H25" s="8">
        <v>2.517543859E9</v>
      </c>
      <c r="I25" s="8">
        <v>8.983918128E9</v>
      </c>
    </row>
    <row r="26" ht="16.5" customHeight="1">
      <c r="A26" s="5" t="s">
        <v>11</v>
      </c>
      <c r="B26" s="6" t="s">
        <v>69</v>
      </c>
      <c r="C26" s="5" t="s">
        <v>15</v>
      </c>
      <c r="D26" s="8">
        <v>6.310117419E9</v>
      </c>
      <c r="E26" s="8">
        <v>1.2165031365E10</v>
      </c>
      <c r="F26" s="8">
        <v>9.420942576E9</v>
      </c>
      <c r="G26" s="8">
        <v>9.8542705484E10</v>
      </c>
      <c r="H26" s="8">
        <v>5.864564902E9</v>
      </c>
      <c r="I26" s="8">
        <v>9.404857648E9</v>
      </c>
    </row>
    <row r="27" ht="16.5" customHeight="1">
      <c r="A27" s="5" t="s">
        <v>70</v>
      </c>
      <c r="B27" s="6" t="s">
        <v>12</v>
      </c>
      <c r="C27" s="5" t="s">
        <v>71</v>
      </c>
      <c r="D27" s="8">
        <v>1.825E8</v>
      </c>
      <c r="E27" s="8">
        <v>5.368E8</v>
      </c>
      <c r="F27" s="8">
        <v>7.639E8</v>
      </c>
      <c r="G27" s="8">
        <v>4.6598E9</v>
      </c>
      <c r="H27" s="8">
        <v>4.868E8</v>
      </c>
      <c r="I27" s="8">
        <v>1.023E9</v>
      </c>
    </row>
    <row r="28" ht="16.5" customHeight="1">
      <c r="A28" s="5" t="s">
        <v>70</v>
      </c>
      <c r="B28" s="6" t="s">
        <v>26</v>
      </c>
      <c r="C28" s="5" t="s">
        <v>71</v>
      </c>
      <c r="D28" s="8">
        <v>1.063E8</v>
      </c>
      <c r="E28" s="8">
        <v>5.224E8</v>
      </c>
      <c r="F28" s="8">
        <v>7.177E8</v>
      </c>
      <c r="G28" s="8">
        <v>5.0487E9</v>
      </c>
      <c r="H28" s="8">
        <v>4.459E8</v>
      </c>
      <c r="I28" s="8">
        <v>6.921E8</v>
      </c>
    </row>
    <row r="29" ht="16.5" customHeight="1">
      <c r="A29" s="5" t="s">
        <v>70</v>
      </c>
      <c r="B29" s="6" t="s">
        <v>24</v>
      </c>
      <c r="C29" s="5" t="s">
        <v>71</v>
      </c>
      <c r="D29" s="8">
        <v>8.96E7</v>
      </c>
      <c r="E29" s="8">
        <v>5.257E8</v>
      </c>
      <c r="F29" s="8">
        <v>5.924E8</v>
      </c>
      <c r="G29" s="8">
        <v>5.3208E9</v>
      </c>
      <c r="H29" s="8">
        <v>3.221E8</v>
      </c>
      <c r="I29" s="8">
        <v>8.208E8</v>
      </c>
    </row>
    <row r="30" ht="16.5" customHeight="1">
      <c r="A30" s="5" t="s">
        <v>70</v>
      </c>
      <c r="B30" s="6" t="s">
        <v>34</v>
      </c>
      <c r="C30" s="5" t="s">
        <v>71</v>
      </c>
      <c r="D30" s="8">
        <v>1.111E8</v>
      </c>
      <c r="E30" s="8">
        <v>4.095E8</v>
      </c>
      <c r="F30" s="8">
        <v>4.408E8</v>
      </c>
      <c r="G30" s="8">
        <v>5.2183E9</v>
      </c>
      <c r="H30" s="8">
        <v>2.1648E8</v>
      </c>
      <c r="I30" s="8">
        <v>8.973E8</v>
      </c>
    </row>
    <row r="31" ht="16.5" customHeight="1">
      <c r="A31" s="5" t="s">
        <v>70</v>
      </c>
      <c r="B31" s="6" t="s">
        <v>37</v>
      </c>
      <c r="C31" s="5" t="s">
        <v>71</v>
      </c>
      <c r="D31" s="8">
        <v>1.28E8</v>
      </c>
      <c r="E31" s="8">
        <v>6.759E8</v>
      </c>
      <c r="F31" s="8">
        <v>5.06E8</v>
      </c>
      <c r="G31" s="8">
        <v>5.956E9</v>
      </c>
      <c r="H31" s="8">
        <v>3.139E8</v>
      </c>
      <c r="I31" s="8">
        <v>6.05E8</v>
      </c>
    </row>
    <row r="32" ht="16.5" customHeight="1">
      <c r="A32" s="5" t="s">
        <v>70</v>
      </c>
      <c r="B32" s="6" t="s">
        <v>43</v>
      </c>
      <c r="C32" s="5" t="s">
        <v>71</v>
      </c>
      <c r="D32" s="8">
        <v>2.292E8</v>
      </c>
      <c r="E32" s="8">
        <v>9.121E8</v>
      </c>
      <c r="F32" s="8">
        <v>6.671E8</v>
      </c>
      <c r="G32" s="8">
        <v>6.1913E9</v>
      </c>
      <c r="H32" s="8">
        <v>6.222E8</v>
      </c>
      <c r="I32" s="8">
        <v>1.4579E9</v>
      </c>
    </row>
    <row r="33" ht="16.5" customHeight="1">
      <c r="A33" s="5" t="s">
        <v>70</v>
      </c>
      <c r="B33" s="6" t="s">
        <v>47</v>
      </c>
      <c r="C33" s="5" t="s">
        <v>71</v>
      </c>
      <c r="D33" s="8">
        <v>1.587E8</v>
      </c>
      <c r="E33" s="8">
        <v>1.0605E9</v>
      </c>
      <c r="F33" s="8">
        <v>9.819E8</v>
      </c>
      <c r="G33" s="8">
        <v>6.9029E9</v>
      </c>
      <c r="H33" s="8">
        <v>6.526575E8</v>
      </c>
      <c r="I33" s="8">
        <v>1.5503E9</v>
      </c>
    </row>
    <row r="34" ht="16.5" customHeight="1">
      <c r="A34" s="5" t="s">
        <v>70</v>
      </c>
      <c r="B34" s="6" t="s">
        <v>48</v>
      </c>
      <c r="C34" s="5" t="s">
        <v>71</v>
      </c>
      <c r="D34" s="8">
        <v>2.005E8</v>
      </c>
      <c r="E34" s="8">
        <v>1.1335E9</v>
      </c>
      <c r="F34" s="8">
        <v>9.314E8</v>
      </c>
      <c r="G34" s="8">
        <v>7.3202E9</v>
      </c>
      <c r="H34" s="8">
        <v>5.484E8</v>
      </c>
      <c r="I34" s="8">
        <v>1.2139E9</v>
      </c>
    </row>
    <row r="35" ht="16.5" customHeight="1">
      <c r="A35" s="5" t="s">
        <v>70</v>
      </c>
      <c r="B35" s="6" t="s">
        <v>49</v>
      </c>
      <c r="C35" s="5" t="s">
        <v>71</v>
      </c>
      <c r="D35" s="8">
        <v>1.5529E9</v>
      </c>
      <c r="E35" s="8">
        <v>2.4834E9</v>
      </c>
      <c r="F35" s="8">
        <v>1.3526E9</v>
      </c>
      <c r="G35" s="8">
        <v>9.8019E9</v>
      </c>
      <c r="H35" s="8">
        <v>6.497E8</v>
      </c>
      <c r="I35" s="8">
        <v>1.4732E9</v>
      </c>
    </row>
    <row r="36" ht="16.5" customHeight="1">
      <c r="A36" s="5" t="s">
        <v>70</v>
      </c>
      <c r="B36" s="6" t="s">
        <v>50</v>
      </c>
      <c r="C36" s="5" t="s">
        <v>71</v>
      </c>
      <c r="D36" s="8">
        <v>2.24E9</v>
      </c>
      <c r="E36" s="8">
        <v>3.519E9</v>
      </c>
      <c r="F36" s="8">
        <v>1.08E9</v>
      </c>
      <c r="G36" s="8">
        <v>1.1361E10</v>
      </c>
      <c r="H36" s="8">
        <v>2.57E8</v>
      </c>
      <c r="I36" s="8">
        <v>1.155E9</v>
      </c>
    </row>
    <row r="37" ht="16.5" customHeight="1">
      <c r="A37" s="5" t="s">
        <v>70</v>
      </c>
      <c r="B37" s="6" t="s">
        <v>51</v>
      </c>
      <c r="C37" s="5" t="s">
        <v>71</v>
      </c>
      <c r="D37" s="8">
        <v>4.319E9</v>
      </c>
      <c r="E37" s="8">
        <v>5.271E9</v>
      </c>
      <c r="F37" s="8">
        <v>1.615E9</v>
      </c>
      <c r="G37" s="8">
        <v>1.377E10</v>
      </c>
      <c r="H37" s="8">
        <v>3.74E8</v>
      </c>
      <c r="I37" s="8">
        <v>1.267E9</v>
      </c>
    </row>
    <row r="38" ht="16.5" customHeight="1">
      <c r="A38" s="5" t="s">
        <v>70</v>
      </c>
      <c r="B38" s="6" t="s">
        <v>55</v>
      </c>
      <c r="C38" s="5" t="s">
        <v>71</v>
      </c>
      <c r="D38" s="8">
        <v>3.332E9</v>
      </c>
      <c r="E38" s="8">
        <v>4.752E9</v>
      </c>
      <c r="F38" s="8">
        <v>1.524E9</v>
      </c>
      <c r="G38" s="8">
        <v>1.5814E10</v>
      </c>
      <c r="H38" s="8">
        <v>4.51E8</v>
      </c>
      <c r="I38" s="8">
        <v>1.253E9</v>
      </c>
    </row>
    <row r="39" ht="16.5" customHeight="1">
      <c r="A39" s="5" t="s">
        <v>70</v>
      </c>
      <c r="B39" s="6" t="s">
        <v>57</v>
      </c>
      <c r="C39" s="5" t="s">
        <v>71</v>
      </c>
      <c r="D39" s="8">
        <v>2.151E9</v>
      </c>
      <c r="E39" s="8">
        <v>3.258E9</v>
      </c>
      <c r="F39" s="8">
        <v>1.311E9</v>
      </c>
      <c r="G39" s="8">
        <v>1.7035E10</v>
      </c>
      <c r="H39" s="8">
        <v>4.31E8</v>
      </c>
      <c r="I39" s="8">
        <v>1.658E9</v>
      </c>
    </row>
    <row r="40" ht="16.5" customHeight="1">
      <c r="A40" s="5" t="s">
        <v>70</v>
      </c>
      <c r="B40" s="6" t="s">
        <v>58</v>
      </c>
      <c r="C40" s="5" t="s">
        <v>71</v>
      </c>
      <c r="D40" s="8">
        <v>6.44E8</v>
      </c>
      <c r="E40" s="8">
        <v>2.078E9</v>
      </c>
      <c r="F40" s="8">
        <v>1.726E9</v>
      </c>
      <c r="G40" s="8">
        <v>2.0609E10</v>
      </c>
      <c r="H40" s="8">
        <v>5.04E8</v>
      </c>
      <c r="I40" s="8">
        <v>1.628E9</v>
      </c>
    </row>
    <row r="41" ht="16.5" customHeight="1">
      <c r="A41" s="5" t="s">
        <v>70</v>
      </c>
      <c r="B41" s="6" t="s">
        <v>59</v>
      </c>
      <c r="C41" s="5" t="s">
        <v>71</v>
      </c>
      <c r="D41" s="8">
        <v>7.75E8</v>
      </c>
      <c r="E41" s="8">
        <v>2.065E9</v>
      </c>
      <c r="F41" s="8">
        <v>1.946E9</v>
      </c>
      <c r="G41" s="8">
        <v>2.2345E10</v>
      </c>
      <c r="H41" s="8">
        <v>5.33E8</v>
      </c>
      <c r="I41" s="8">
        <v>1.843E9</v>
      </c>
    </row>
    <row r="42" ht="16.5" customHeight="1">
      <c r="A42" s="5" t="s">
        <v>70</v>
      </c>
      <c r="B42" s="6" t="s">
        <v>60</v>
      </c>
      <c r="C42" s="5" t="s">
        <v>71</v>
      </c>
      <c r="D42" s="8">
        <v>1.804E9</v>
      </c>
      <c r="E42" s="8">
        <v>3.571E9</v>
      </c>
      <c r="F42" s="8">
        <v>1.273E9</v>
      </c>
      <c r="G42" s="8">
        <v>2.2576E10</v>
      </c>
      <c r="H42" s="8">
        <v>-5.446E9</v>
      </c>
      <c r="I42" s="8">
        <v>1.094E9</v>
      </c>
    </row>
    <row r="43" ht="16.5" customHeight="1">
      <c r="A43" s="5" t="s">
        <v>70</v>
      </c>
      <c r="B43" s="6" t="s">
        <v>61</v>
      </c>
      <c r="C43" s="5" t="s">
        <v>71</v>
      </c>
      <c r="D43" s="8">
        <v>2.799889441E9</v>
      </c>
      <c r="E43" s="8">
        <v>4.076838032E9</v>
      </c>
      <c r="F43" s="8">
        <v>2.150359314E9</v>
      </c>
      <c r="G43" s="8">
        <v>2.1091763405E10</v>
      </c>
      <c r="H43" s="8">
        <v>-1.453841901E9</v>
      </c>
      <c r="I43" s="8">
        <v>1.184355997E9</v>
      </c>
    </row>
    <row r="44" ht="16.5" customHeight="1">
      <c r="A44" s="5" t="s">
        <v>70</v>
      </c>
      <c r="B44" s="6" t="s">
        <v>62</v>
      </c>
      <c r="C44" s="5" t="s">
        <v>71</v>
      </c>
      <c r="D44" s="8">
        <v>1.578205128E9</v>
      </c>
      <c r="E44" s="8">
        <v>2.528205128E9</v>
      </c>
      <c r="F44" s="8">
        <v>1.219230769E9</v>
      </c>
      <c r="G44" s="8">
        <v>1.7571794871E10</v>
      </c>
      <c r="H44" s="8">
        <v>-4.58974358E8</v>
      </c>
      <c r="I44" s="8">
        <v>1.6E9</v>
      </c>
    </row>
    <row r="45" ht="16.5" customHeight="1">
      <c r="A45" s="5" t="s">
        <v>70</v>
      </c>
      <c r="B45" s="6" t="s">
        <v>63</v>
      </c>
      <c r="C45" s="5" t="s">
        <v>71</v>
      </c>
      <c r="D45" s="8">
        <v>1.864550864E9</v>
      </c>
      <c r="E45" s="8">
        <v>3.114196656E9</v>
      </c>
      <c r="F45" s="8">
        <v>2.618305468E9</v>
      </c>
      <c r="G45" s="8">
        <v>2.4275998866E10</v>
      </c>
      <c r="H45" s="8">
        <v>8.82686313E8</v>
      </c>
      <c r="I45" s="8">
        <v>2.235760838E9</v>
      </c>
    </row>
    <row r="46" ht="16.5" customHeight="1">
      <c r="A46" s="5" t="s">
        <v>70</v>
      </c>
      <c r="B46" s="6" t="s">
        <v>64</v>
      </c>
      <c r="C46" s="5" t="s">
        <v>71</v>
      </c>
      <c r="D46" s="8">
        <v>1.522980302E9</v>
      </c>
      <c r="E46" s="8">
        <v>3.111618612E9</v>
      </c>
      <c r="F46" s="8">
        <v>1.882671995E9</v>
      </c>
      <c r="G46" s="8">
        <v>2.3564087924E10</v>
      </c>
      <c r="H46" s="8">
        <v>9.22066799E8</v>
      </c>
      <c r="I46" s="8">
        <v>2.920353982E9</v>
      </c>
    </row>
    <row r="47" ht="16.5" customHeight="1">
      <c r="A47" s="5" t="s">
        <v>70</v>
      </c>
      <c r="B47" s="6" t="s">
        <v>65</v>
      </c>
      <c r="C47" s="5" t="s">
        <v>71</v>
      </c>
      <c r="D47" s="8">
        <v>1.712542196E9</v>
      </c>
      <c r="E47" s="8">
        <v>3.500389509E9</v>
      </c>
      <c r="F47" s="8">
        <v>1.992988834E9</v>
      </c>
      <c r="G47" s="8">
        <v>2.2923915866E10</v>
      </c>
      <c r="H47" s="8">
        <v>-3.25889379E8</v>
      </c>
      <c r="I47" s="8">
        <v>1.916385354E9</v>
      </c>
    </row>
    <row r="48" ht="16.5" customHeight="1">
      <c r="A48" s="5" t="s">
        <v>70</v>
      </c>
      <c r="B48" s="6" t="s">
        <v>66</v>
      </c>
      <c r="C48" s="5" t="s">
        <v>71</v>
      </c>
      <c r="D48" s="8">
        <v>4.101433296E9</v>
      </c>
      <c r="E48" s="8">
        <v>6.547684674E9</v>
      </c>
      <c r="F48" s="8">
        <v>4.583792723E9</v>
      </c>
      <c r="G48" s="8">
        <v>4.1357497243E10</v>
      </c>
      <c r="H48" s="8">
        <v>1.062568908E9</v>
      </c>
      <c r="I48" s="8">
        <v>3.131201764E9</v>
      </c>
    </row>
    <row r="49" ht="16.5" customHeight="1">
      <c r="A49" s="5" t="s">
        <v>70</v>
      </c>
      <c r="B49" s="6" t="s">
        <v>67</v>
      </c>
      <c r="C49" s="5" t="s">
        <v>71</v>
      </c>
      <c r="D49" s="8">
        <v>3.471586715E9</v>
      </c>
      <c r="E49" s="8">
        <v>7.56900369E9</v>
      </c>
      <c r="F49" s="8">
        <v>5.124723247E9</v>
      </c>
      <c r="G49" s="8">
        <v>4.2591881918E10</v>
      </c>
      <c r="H49" s="8">
        <v>3.371217712E9</v>
      </c>
      <c r="I49" s="8">
        <v>6.727675276E9</v>
      </c>
    </row>
    <row r="50" ht="16.5" customHeight="1">
      <c r="A50" s="5" t="s">
        <v>70</v>
      </c>
      <c r="B50" s="6" t="s">
        <v>68</v>
      </c>
      <c r="C50" s="5" t="s">
        <v>71</v>
      </c>
      <c r="D50" s="8">
        <v>2.74122807E9</v>
      </c>
      <c r="E50" s="8">
        <v>6.355263157E9</v>
      </c>
      <c r="F50" s="8">
        <v>4.30994152E9</v>
      </c>
      <c r="G50" s="8">
        <v>4.3502923976E10</v>
      </c>
      <c r="H50" s="8">
        <v>2.049707602E9</v>
      </c>
      <c r="I50" s="8">
        <v>4.763157894E9</v>
      </c>
    </row>
    <row r="51" ht="16.5" customHeight="1">
      <c r="A51" s="5" t="s">
        <v>70</v>
      </c>
      <c r="B51" s="6" t="s">
        <v>69</v>
      </c>
      <c r="C51" s="5" t="s">
        <v>71</v>
      </c>
      <c r="D51" s="8">
        <v>2.948367379E9</v>
      </c>
      <c r="E51" s="8">
        <v>5.124658195E9</v>
      </c>
      <c r="F51" s="8">
        <v>3.881293228E9</v>
      </c>
      <c r="G51" s="8">
        <v>4.7664468393E10</v>
      </c>
      <c r="H51" s="8">
        <v>1.870677175E9</v>
      </c>
      <c r="I51" s="8">
        <v>4.5842046E9</v>
      </c>
    </row>
    <row r="52" ht="16.5" customHeight="1">
      <c r="A52" s="5" t="s">
        <v>72</v>
      </c>
      <c r="B52" s="6" t="s">
        <v>12</v>
      </c>
      <c r="C52" s="5" t="s">
        <v>73</v>
      </c>
      <c r="D52" s="8">
        <v>1.158E7</v>
      </c>
      <c r="E52" s="8">
        <v>1.4789E7</v>
      </c>
      <c r="F52" s="8">
        <v>4876000.0</v>
      </c>
      <c r="G52" s="8">
        <v>2.7669E7</v>
      </c>
      <c r="H52" s="8">
        <v>2440000.0</v>
      </c>
      <c r="I52" s="8">
        <v>3194000.0</v>
      </c>
    </row>
    <row r="53" ht="16.5" customHeight="1">
      <c r="A53" s="5" t="s">
        <v>72</v>
      </c>
      <c r="B53" s="6" t="s">
        <v>26</v>
      </c>
      <c r="C53" s="5" t="s">
        <v>73</v>
      </c>
      <c r="D53" s="8">
        <v>8665000.0</v>
      </c>
      <c r="E53" s="8">
        <v>1.2185E7</v>
      </c>
      <c r="F53" s="8">
        <v>689000.0</v>
      </c>
      <c r="G53" s="8">
        <v>3.2348E7</v>
      </c>
      <c r="H53" s="8">
        <v>3614000.0</v>
      </c>
      <c r="I53" s="8">
        <v>-877000.0</v>
      </c>
    </row>
    <row r="54" ht="16.5" customHeight="1">
      <c r="A54" s="5" t="s">
        <v>72</v>
      </c>
      <c r="B54" s="6" t="s">
        <v>24</v>
      </c>
      <c r="C54" s="5" t="s">
        <v>73</v>
      </c>
      <c r="D54" s="8">
        <v>4817000.0</v>
      </c>
      <c r="E54" s="8">
        <v>1.3246E7</v>
      </c>
      <c r="F54" s="8">
        <v>2917000.0</v>
      </c>
      <c r="G54" s="8">
        <v>5.8399E7</v>
      </c>
      <c r="H54" s="8">
        <v>2863000.0</v>
      </c>
      <c r="I54" s="8">
        <v>4545000.0</v>
      </c>
    </row>
    <row r="55" ht="16.5" customHeight="1">
      <c r="A55" s="5" t="s">
        <v>72</v>
      </c>
      <c r="B55" s="6" t="s">
        <v>34</v>
      </c>
      <c r="C55" s="5" t="s">
        <v>73</v>
      </c>
      <c r="D55" s="8">
        <v>8874000.0</v>
      </c>
      <c r="E55" s="8">
        <v>1.549E7</v>
      </c>
      <c r="F55" s="8">
        <v>3729000.0</v>
      </c>
      <c r="G55" s="8">
        <v>7.1055E7</v>
      </c>
      <c r="H55" s="8">
        <v>7895000.0</v>
      </c>
      <c r="I55" s="8">
        <v>1.7123E7</v>
      </c>
    </row>
    <row r="56" ht="16.5" customHeight="1">
      <c r="A56" s="5" t="s">
        <v>72</v>
      </c>
      <c r="B56" s="6" t="s">
        <v>37</v>
      </c>
      <c r="C56" s="5" t="s">
        <v>73</v>
      </c>
      <c r="D56" s="8">
        <v>3.5217E7</v>
      </c>
      <c r="E56" s="8">
        <v>4.5563E7</v>
      </c>
      <c r="F56" s="8">
        <v>6289000.0</v>
      </c>
      <c r="G56" s="8">
        <v>1.17969E8</v>
      </c>
      <c r="H56" s="8">
        <v>9044000.0</v>
      </c>
      <c r="I56" s="8">
        <v>2.0941E7</v>
      </c>
    </row>
    <row r="57" ht="16.5" customHeight="1">
      <c r="A57" s="5" t="s">
        <v>72</v>
      </c>
      <c r="B57" s="6" t="s">
        <v>43</v>
      </c>
      <c r="C57" s="5" t="s">
        <v>73</v>
      </c>
      <c r="D57" s="8">
        <v>3.4653E7</v>
      </c>
      <c r="E57" s="8">
        <v>5.2125E7</v>
      </c>
      <c r="F57" s="8">
        <v>1.2289E7</v>
      </c>
      <c r="G57" s="8">
        <v>1.61234E8</v>
      </c>
      <c r="H57" s="8">
        <v>1.9909E7</v>
      </c>
      <c r="I57" s="8">
        <v>3.889E7</v>
      </c>
    </row>
    <row r="58" ht="16.5" customHeight="1">
      <c r="A58" s="5" t="s">
        <v>72</v>
      </c>
      <c r="B58" s="6" t="s">
        <v>47</v>
      </c>
      <c r="C58" s="5" t="s">
        <v>73</v>
      </c>
      <c r="D58" s="8">
        <v>2.5448E7</v>
      </c>
      <c r="E58" s="8">
        <v>4.6084E7</v>
      </c>
      <c r="F58" s="8">
        <v>4.9124E7</v>
      </c>
      <c r="G58" s="8">
        <v>3.84995E8</v>
      </c>
      <c r="H58" s="8">
        <v>1.5956E7</v>
      </c>
      <c r="I58" s="8">
        <v>6.334E7</v>
      </c>
    </row>
    <row r="59" ht="16.5" customHeight="1">
      <c r="A59" s="5" t="s">
        <v>72</v>
      </c>
      <c r="B59" s="6" t="s">
        <v>48</v>
      </c>
      <c r="C59" s="5" t="s">
        <v>73</v>
      </c>
      <c r="D59" s="8">
        <v>1.2502E8</v>
      </c>
      <c r="E59" s="8">
        <v>3.89147E8</v>
      </c>
      <c r="F59" s="8">
        <v>1.78397E8</v>
      </c>
      <c r="G59" s="8">
        <v>1.438427E9</v>
      </c>
      <c r="H59" s="8">
        <v>1.9296E7</v>
      </c>
      <c r="I59" s="8">
        <v>1.11955E8</v>
      </c>
    </row>
    <row r="60" ht="16.5" customHeight="1">
      <c r="A60" s="5" t="s">
        <v>72</v>
      </c>
      <c r="B60" s="6" t="s">
        <v>49</v>
      </c>
      <c r="C60" s="5" t="s">
        <v>73</v>
      </c>
      <c r="D60" s="8">
        <v>3.76485E8</v>
      </c>
      <c r="E60" s="8">
        <v>5.85553E8</v>
      </c>
      <c r="F60" s="8">
        <v>3.23349E8</v>
      </c>
      <c r="G60" s="8">
        <v>1.733818E9</v>
      </c>
      <c r="H60" s="8">
        <v>7.23322E7</v>
      </c>
      <c r="I60" s="8">
        <v>1.99803E8</v>
      </c>
    </row>
    <row r="61" ht="16.5" customHeight="1">
      <c r="A61" s="5" t="s">
        <v>72</v>
      </c>
      <c r="B61" s="6" t="s">
        <v>50</v>
      </c>
      <c r="C61" s="5" t="s">
        <v>73</v>
      </c>
      <c r="D61" s="8">
        <v>1.36209E8</v>
      </c>
      <c r="E61" s="8">
        <v>3.89105E8</v>
      </c>
      <c r="F61" s="8">
        <v>1.77075E8</v>
      </c>
      <c r="G61" s="8">
        <v>1.704776E9</v>
      </c>
      <c r="H61" s="8">
        <v>4.6582E7</v>
      </c>
      <c r="I61" s="8">
        <v>1.73256E8</v>
      </c>
    </row>
    <row r="62" ht="16.5" customHeight="1">
      <c r="A62" s="5" t="s">
        <v>72</v>
      </c>
      <c r="B62" s="6" t="s">
        <v>51</v>
      </c>
      <c r="C62" s="5" t="s">
        <v>73</v>
      </c>
      <c r="D62" s="8">
        <v>1.6994E8</v>
      </c>
      <c r="E62" s="8">
        <v>3.95574E8</v>
      </c>
      <c r="F62" s="8">
        <v>1.06284E8</v>
      </c>
      <c r="G62" s="8">
        <v>2.2509E9</v>
      </c>
      <c r="H62" s="8">
        <v>-2.6402E7</v>
      </c>
      <c r="I62" s="8">
        <v>1.28468E8</v>
      </c>
    </row>
    <row r="63" ht="16.5" customHeight="1">
      <c r="A63" s="5" t="s">
        <v>72</v>
      </c>
      <c r="B63" s="6" t="s">
        <v>55</v>
      </c>
      <c r="C63" s="5" t="s">
        <v>73</v>
      </c>
      <c r="D63" s="8">
        <v>1.73328E8</v>
      </c>
      <c r="E63" s="8">
        <v>3.08519E8</v>
      </c>
      <c r="F63" s="8">
        <v>1.38397E8</v>
      </c>
      <c r="G63" s="8">
        <v>1.587834E9</v>
      </c>
      <c r="H63" s="8">
        <v>6.5436E7</v>
      </c>
      <c r="I63" s="8">
        <v>1.8453E8</v>
      </c>
    </row>
    <row r="64" ht="16.5" customHeight="1">
      <c r="A64" s="5" t="s">
        <v>72</v>
      </c>
      <c r="B64" s="6" t="s">
        <v>57</v>
      </c>
      <c r="C64" s="5" t="s">
        <v>73</v>
      </c>
      <c r="D64" s="8">
        <v>3.78505E8</v>
      </c>
      <c r="E64" s="8">
        <v>5.64556E8</v>
      </c>
      <c r="F64" s="8">
        <v>1.27591E8</v>
      </c>
      <c r="G64" s="8">
        <v>2.148193E9</v>
      </c>
      <c r="H64" s="8">
        <v>1.22059E8</v>
      </c>
      <c r="I64" s="8">
        <v>2.18219E8</v>
      </c>
    </row>
    <row r="65" ht="16.5" customHeight="1">
      <c r="A65" s="5" t="s">
        <v>72</v>
      </c>
      <c r="B65" s="6" t="s">
        <v>58</v>
      </c>
      <c r="C65" s="5" t="s">
        <v>73</v>
      </c>
      <c r="D65" s="8">
        <v>3.47601E8</v>
      </c>
      <c r="E65" s="8">
        <v>5.99383E8</v>
      </c>
      <c r="F65" s="8">
        <v>1.65497E8</v>
      </c>
      <c r="G65" s="8">
        <v>2.404788E9</v>
      </c>
      <c r="H65" s="8">
        <v>1.93882E8</v>
      </c>
      <c r="I65" s="8">
        <v>2.63994E8</v>
      </c>
    </row>
    <row r="66" ht="16.5" customHeight="1">
      <c r="A66" s="5" t="s">
        <v>72</v>
      </c>
      <c r="B66" s="6" t="s">
        <v>59</v>
      </c>
      <c r="C66" s="5" t="s">
        <v>73</v>
      </c>
      <c r="D66" s="8">
        <v>4.11307E8</v>
      </c>
      <c r="E66" s="8">
        <v>6.37918E8</v>
      </c>
      <c r="F66" s="8">
        <v>4.01104E8</v>
      </c>
      <c r="G66" s="8">
        <v>2.654652E9</v>
      </c>
      <c r="H66" s="8">
        <v>2.5922E8</v>
      </c>
      <c r="I66" s="8">
        <v>5.82611E8</v>
      </c>
    </row>
    <row r="67" ht="16.5" customHeight="1">
      <c r="A67" s="5" t="s">
        <v>72</v>
      </c>
      <c r="B67" s="6" t="s">
        <v>60</v>
      </c>
      <c r="C67" s="5" t="s">
        <v>73</v>
      </c>
      <c r="D67" s="8">
        <v>1.702E8</v>
      </c>
      <c r="E67" s="8">
        <v>4.416E8</v>
      </c>
      <c r="F67" s="8">
        <v>1.511E8</v>
      </c>
      <c r="G67" s="8">
        <v>1.8364E9</v>
      </c>
      <c r="H67" s="8">
        <v>-2.7E8</v>
      </c>
      <c r="I67" s="8">
        <v>2.285E8</v>
      </c>
    </row>
    <row r="68" ht="16.5" customHeight="1">
      <c r="A68" s="5" t="s">
        <v>72</v>
      </c>
      <c r="B68" s="6" t="s">
        <v>61</v>
      </c>
      <c r="C68" s="5" t="s">
        <v>73</v>
      </c>
      <c r="D68" s="8">
        <v>1.991E8</v>
      </c>
      <c r="E68" s="8">
        <v>4.358E8</v>
      </c>
      <c r="F68" s="8">
        <v>1.491E8</v>
      </c>
      <c r="G68" s="8">
        <v>1.6255E9</v>
      </c>
      <c r="H68" s="8">
        <v>-5.184E8</v>
      </c>
      <c r="I68" s="8">
        <v>2.334E8</v>
      </c>
    </row>
    <row r="69" ht="16.5" customHeight="1">
      <c r="A69" s="5" t="s">
        <v>72</v>
      </c>
      <c r="B69" s="6" t="s">
        <v>62</v>
      </c>
      <c r="C69" s="5" t="s">
        <v>73</v>
      </c>
      <c r="D69" s="8">
        <v>3.48E8</v>
      </c>
      <c r="E69" s="8">
        <v>5.219E8</v>
      </c>
      <c r="F69" s="8">
        <v>1.262E8</v>
      </c>
      <c r="G69" s="8">
        <v>1.8931E9</v>
      </c>
      <c r="H69" s="8">
        <v>3.212E8</v>
      </c>
      <c r="I69" s="8">
        <v>3.212E8</v>
      </c>
    </row>
    <row r="70" ht="16.5" customHeight="1">
      <c r="A70" s="5" t="s">
        <v>72</v>
      </c>
      <c r="B70" s="6" t="s">
        <v>63</v>
      </c>
      <c r="C70" s="5" t="s">
        <v>73</v>
      </c>
      <c r="D70" s="8">
        <v>3.112E8</v>
      </c>
      <c r="E70" s="8">
        <v>7.242E8</v>
      </c>
      <c r="F70" s="8">
        <v>4.827E8</v>
      </c>
      <c r="G70" s="8">
        <v>4.0768E9</v>
      </c>
      <c r="H70" s="8">
        <v>2.514E8</v>
      </c>
      <c r="I70" s="8">
        <v>6.629E8</v>
      </c>
    </row>
    <row r="71" ht="16.5" customHeight="1">
      <c r="A71" s="5" t="s">
        <v>72</v>
      </c>
      <c r="B71" s="6" t="s">
        <v>64</v>
      </c>
      <c r="C71" s="5" t="s">
        <v>73</v>
      </c>
      <c r="D71" s="8">
        <v>1.719E8</v>
      </c>
      <c r="E71" s="8">
        <v>5.985E8</v>
      </c>
      <c r="F71" s="8">
        <v>6.133E8</v>
      </c>
      <c r="G71" s="8">
        <v>3.9139E9</v>
      </c>
      <c r="H71" s="8">
        <v>5.789E8</v>
      </c>
      <c r="I71" s="8">
        <v>1.0382E9</v>
      </c>
    </row>
    <row r="72" ht="16.5" customHeight="1">
      <c r="A72" s="5" t="s">
        <v>72</v>
      </c>
      <c r="B72" s="6" t="s">
        <v>65</v>
      </c>
      <c r="C72" s="5" t="s">
        <v>73</v>
      </c>
      <c r="D72" s="8">
        <v>1.099E8</v>
      </c>
      <c r="E72" s="8">
        <v>5.076E8</v>
      </c>
      <c r="F72" s="8">
        <v>4.562E8</v>
      </c>
      <c r="G72" s="8">
        <v>4.2152E9</v>
      </c>
      <c r="H72" s="8">
        <v>4.832E8</v>
      </c>
      <c r="I72" s="8">
        <v>8.739E8</v>
      </c>
    </row>
    <row r="73" ht="16.5" customHeight="1">
      <c r="A73" s="5" t="s">
        <v>72</v>
      </c>
      <c r="B73" s="6" t="s">
        <v>66</v>
      </c>
      <c r="C73" s="5" t="s">
        <v>73</v>
      </c>
      <c r="D73" s="8">
        <v>1.267E8</v>
      </c>
      <c r="E73" s="8">
        <v>6.709E8</v>
      </c>
      <c r="F73" s="8">
        <v>3.99E8</v>
      </c>
      <c r="G73" s="8">
        <v>4.6792E9</v>
      </c>
      <c r="H73" s="8">
        <v>3.067E8</v>
      </c>
      <c r="I73" s="8">
        <v>7.598E8</v>
      </c>
    </row>
    <row r="74" ht="16.5" customHeight="1">
      <c r="A74" s="5" t="s">
        <v>72</v>
      </c>
      <c r="B74" s="6" t="s">
        <v>67</v>
      </c>
      <c r="C74" s="5" t="s">
        <v>73</v>
      </c>
      <c r="D74" s="8">
        <v>2.545E8</v>
      </c>
      <c r="E74" s="8">
        <v>6.958E8</v>
      </c>
      <c r="F74" s="8">
        <v>4.916E8</v>
      </c>
      <c r="G74" s="8">
        <v>5.1021E9</v>
      </c>
      <c r="H74" s="8">
        <v>5.036E8</v>
      </c>
      <c r="I74" s="8">
        <v>1.2232E9</v>
      </c>
    </row>
    <row r="75" ht="16.5" customHeight="1">
      <c r="A75" s="5" t="s">
        <v>72</v>
      </c>
      <c r="B75" s="6" t="s">
        <v>68</v>
      </c>
      <c r="C75" s="5" t="s">
        <v>73</v>
      </c>
      <c r="D75" s="8">
        <v>2.189E8</v>
      </c>
      <c r="E75" s="8">
        <v>6.701E8</v>
      </c>
      <c r="F75" s="8">
        <v>4.442E8</v>
      </c>
      <c r="G75" s="8">
        <v>5.8949E9</v>
      </c>
      <c r="H75" s="8">
        <v>3.83E8</v>
      </c>
      <c r="I75" s="8">
        <v>9.286E8</v>
      </c>
    </row>
    <row r="76" ht="16.5" customHeight="1">
      <c r="A76" s="5" t="s">
        <v>72</v>
      </c>
      <c r="B76" s="6" t="s">
        <v>69</v>
      </c>
      <c r="C76" s="5" t="s">
        <v>73</v>
      </c>
      <c r="D76" s="8">
        <v>1.72E8</v>
      </c>
      <c r="E76" s="8">
        <v>6.856E8</v>
      </c>
      <c r="F76" s="8">
        <v>3.818E8</v>
      </c>
      <c r="G76" s="8">
        <v>5.4992E9</v>
      </c>
      <c r="H76" s="8">
        <v>-4.483E8</v>
      </c>
      <c r="I76" s="8">
        <v>7.741E8</v>
      </c>
    </row>
    <row r="77" ht="16.5" customHeight="1">
      <c r="A77" s="5" t="s">
        <v>74</v>
      </c>
      <c r="B77" s="6" t="s">
        <v>12</v>
      </c>
      <c r="C77" s="5" t="s">
        <v>75</v>
      </c>
      <c r="D77" s="8">
        <v>1.8709E7</v>
      </c>
      <c r="E77" s="8">
        <v>4.2403E8</v>
      </c>
      <c r="F77" s="8">
        <v>3.18971E8</v>
      </c>
      <c r="G77" s="8">
        <v>2.231251E9</v>
      </c>
      <c r="H77" s="8">
        <v>2.79376E8</v>
      </c>
      <c r="I77" s="8">
        <v>4.2807E8</v>
      </c>
    </row>
    <row r="78" ht="16.5" customHeight="1">
      <c r="A78" s="5" t="s">
        <v>74</v>
      </c>
      <c r="B78" s="6" t="s">
        <v>26</v>
      </c>
      <c r="C78" s="5" t="s">
        <v>75</v>
      </c>
      <c r="D78" s="8">
        <v>1.591E7</v>
      </c>
      <c r="E78" s="8">
        <v>5.84848E8</v>
      </c>
      <c r="F78" s="8">
        <v>6.68477E8</v>
      </c>
      <c r="G78" s="8">
        <v>2.828826E9</v>
      </c>
      <c r="H78" s="8">
        <v>1.03629E8</v>
      </c>
      <c r="I78" s="8">
        <v>2.53237E8</v>
      </c>
    </row>
    <row r="79" ht="16.5" customHeight="1">
      <c r="A79" s="5" t="s">
        <v>74</v>
      </c>
      <c r="B79" s="6" t="s">
        <v>24</v>
      </c>
      <c r="C79" s="5" t="s">
        <v>75</v>
      </c>
      <c r="D79" s="8">
        <v>1.7255E7</v>
      </c>
      <c r="E79" s="8">
        <v>5.86249E8</v>
      </c>
      <c r="F79" s="8">
        <v>5.27513E8</v>
      </c>
      <c r="G79" s="8">
        <v>2.957934E9</v>
      </c>
      <c r="H79" s="8">
        <v>1.336E8</v>
      </c>
      <c r="I79" s="8">
        <v>3.21297E8</v>
      </c>
    </row>
    <row r="80" ht="16.5" customHeight="1">
      <c r="A80" s="5" t="s">
        <v>74</v>
      </c>
      <c r="B80" s="6" t="s">
        <v>34</v>
      </c>
      <c r="C80" s="5" t="s">
        <v>75</v>
      </c>
      <c r="D80" s="8">
        <v>1.6431E7</v>
      </c>
      <c r="E80" s="8">
        <v>7.34492E8</v>
      </c>
      <c r="F80" s="8">
        <v>6.32424E8</v>
      </c>
      <c r="G80" s="8">
        <v>3.408741E9</v>
      </c>
      <c r="H80" s="8">
        <v>1.66303E8</v>
      </c>
      <c r="I80" s="8">
        <v>4.22594E8</v>
      </c>
    </row>
    <row r="81" ht="16.5" customHeight="1">
      <c r="A81" s="5" t="s">
        <v>74</v>
      </c>
      <c r="B81" s="6" t="s">
        <v>37</v>
      </c>
      <c r="C81" s="5" t="s">
        <v>75</v>
      </c>
      <c r="D81" s="8">
        <v>4.4318E7</v>
      </c>
      <c r="E81" s="8">
        <v>7.79284E8</v>
      </c>
      <c r="F81" s="8">
        <v>6.66099E8</v>
      </c>
      <c r="G81" s="8">
        <v>3.707346E9</v>
      </c>
      <c r="H81" s="8">
        <v>1.8809E8</v>
      </c>
      <c r="I81" s="8">
        <v>4.24796E8</v>
      </c>
    </row>
    <row r="82" ht="16.5" customHeight="1">
      <c r="A82" s="5" t="s">
        <v>74</v>
      </c>
      <c r="B82" s="6">
        <v>2005.0</v>
      </c>
      <c r="C82" s="5" t="s">
        <v>75</v>
      </c>
      <c r="D82" s="8">
        <v>8.7793E7</v>
      </c>
      <c r="E82" s="8">
        <v>1.071403E9</v>
      </c>
      <c r="F82" s="8">
        <v>1.024377E9</v>
      </c>
      <c r="G82" s="8">
        <v>8.014663E9</v>
      </c>
      <c r="H82" s="8">
        <v>3.25671E8</v>
      </c>
      <c r="I82" s="8">
        <v>5.55478E8</v>
      </c>
    </row>
    <row r="83" ht="16.5" customHeight="1">
      <c r="A83" s="5" t="s">
        <v>74</v>
      </c>
      <c r="B83" s="6">
        <v>2006.0</v>
      </c>
      <c r="C83" s="5" t="s">
        <v>75</v>
      </c>
      <c r="D83" s="8">
        <v>3.09229E8</v>
      </c>
      <c r="E83" s="8">
        <v>1.549451E9</v>
      </c>
      <c r="F83" s="8">
        <v>1.577743E9</v>
      </c>
      <c r="G83" s="8">
        <v>8.664927E9</v>
      </c>
      <c r="H83" s="8">
        <v>4.288098E8</v>
      </c>
      <c r="I83" s="8">
        <v>9.86579E8</v>
      </c>
    </row>
    <row r="84" ht="16.5" customHeight="1">
      <c r="A84" s="5" t="s">
        <v>74</v>
      </c>
      <c r="B84" s="6">
        <v>2007.0</v>
      </c>
      <c r="C84" s="5" t="s">
        <v>75</v>
      </c>
      <c r="D84" s="8">
        <v>2.67574E8</v>
      </c>
      <c r="E84" s="8">
        <v>5.106758E9</v>
      </c>
      <c r="F84" s="8">
        <v>2.72591E9</v>
      </c>
      <c r="G84" s="8">
        <v>1.4782277E10</v>
      </c>
      <c r="H84" s="8">
        <v>3.75484E8</v>
      </c>
      <c r="I84" s="8">
        <v>9.78239E8</v>
      </c>
    </row>
    <row r="85" ht="16.5" customHeight="1">
      <c r="A85" s="5" t="s">
        <v>74</v>
      </c>
      <c r="B85" s="6">
        <v>2008.0</v>
      </c>
      <c r="C85" s="5" t="s">
        <v>75</v>
      </c>
      <c r="D85" s="8">
        <v>9.601E7</v>
      </c>
      <c r="E85" s="8">
        <v>2.548901E9</v>
      </c>
      <c r="F85" s="8">
        <v>2.429615E9</v>
      </c>
      <c r="G85" s="8">
        <v>1.2583497E10</v>
      </c>
      <c r="H85" s="8">
        <v>6.29014E8</v>
      </c>
      <c r="I85" s="8">
        <v>9.98178E8</v>
      </c>
    </row>
    <row r="86" ht="16.5" customHeight="1">
      <c r="A86" s="5" t="s">
        <v>74</v>
      </c>
      <c r="B86" s="6">
        <v>2009.0</v>
      </c>
      <c r="C86" s="5" t="s">
        <v>75</v>
      </c>
      <c r="D86" s="8">
        <v>3.895E9</v>
      </c>
      <c r="E86" s="8">
        <v>5.973E9</v>
      </c>
      <c r="F86" s="8">
        <v>2.662E9</v>
      </c>
      <c r="G86" s="8">
        <v>2.2102E10</v>
      </c>
      <c r="H86" s="8">
        <v>5.87E8</v>
      </c>
      <c r="I86" s="8">
        <v>8.51E8</v>
      </c>
    </row>
    <row r="87" ht="16.5" customHeight="1">
      <c r="A87" s="5" t="s">
        <v>74</v>
      </c>
      <c r="B87" s="6">
        <v>2010.0</v>
      </c>
      <c r="C87" s="5" t="s">
        <v>75</v>
      </c>
      <c r="D87" s="8">
        <v>8.23E8</v>
      </c>
      <c r="E87" s="8">
        <v>3.038E9</v>
      </c>
      <c r="F87" s="8">
        <v>1.884E9</v>
      </c>
      <c r="G87" s="8">
        <v>2.1834E10</v>
      </c>
      <c r="H87" s="8">
        <v>6.8E8</v>
      </c>
      <c r="I87" s="8">
        <v>1.074E9</v>
      </c>
    </row>
    <row r="88" ht="16.5" customHeight="1">
      <c r="A88" s="5" t="s">
        <v>74</v>
      </c>
      <c r="B88" s="6">
        <v>2011.0</v>
      </c>
      <c r="C88" s="5" t="s">
        <v>75</v>
      </c>
      <c r="D88" s="8">
        <v>7.28E8</v>
      </c>
      <c r="E88" s="8">
        <v>3.861E9</v>
      </c>
      <c r="F88" s="8">
        <v>5.109E9</v>
      </c>
      <c r="G88" s="8">
        <v>2.664E10</v>
      </c>
      <c r="H88" s="8">
        <v>7.35E8</v>
      </c>
      <c r="I88" s="8">
        <v>1.401E9</v>
      </c>
    </row>
    <row r="89" ht="16.5" customHeight="1">
      <c r="A89" s="5" t="s">
        <v>74</v>
      </c>
      <c r="B89" s="6">
        <v>2012.0</v>
      </c>
      <c r="C89" s="5" t="s">
        <v>75</v>
      </c>
      <c r="D89" s="8">
        <v>3.57E8</v>
      </c>
      <c r="E89" s="8">
        <v>3.939E9</v>
      </c>
      <c r="F89" s="8">
        <v>4.294E9</v>
      </c>
      <c r="G89" s="8">
        <v>2.7981E10</v>
      </c>
      <c r="H89" s="8">
        <v>9.71E8</v>
      </c>
      <c r="I89" s="8">
        <v>1.822E9</v>
      </c>
    </row>
    <row r="90" ht="16.5" customHeight="1">
      <c r="A90" s="5" t="s">
        <v>74</v>
      </c>
      <c r="B90" s="6">
        <v>2013.0</v>
      </c>
      <c r="C90" s="5" t="s">
        <v>75</v>
      </c>
      <c r="D90" s="8">
        <v>3.07E8</v>
      </c>
      <c r="E90" s="8">
        <v>3.961E9</v>
      </c>
      <c r="F90" s="8">
        <v>5.476E9</v>
      </c>
      <c r="G90" s="8">
        <v>2.9586E10</v>
      </c>
      <c r="H90" s="8">
        <v>8.43E8</v>
      </c>
      <c r="I90" s="8">
        <v>1.642E9</v>
      </c>
    </row>
    <row r="91" ht="16.5" customHeight="1">
      <c r="A91" s="5" t="s">
        <v>74</v>
      </c>
      <c r="B91" s="6">
        <v>2014.0</v>
      </c>
      <c r="C91" s="5" t="s">
        <v>75</v>
      </c>
      <c r="D91" s="8">
        <v>2.28E8</v>
      </c>
      <c r="E91" s="8">
        <v>3.596E9</v>
      </c>
      <c r="F91" s="8">
        <v>3.709E9</v>
      </c>
      <c r="G91" s="8">
        <v>3.1139E10</v>
      </c>
      <c r="H91" s="8">
        <v>8.21E8</v>
      </c>
      <c r="I91" s="8">
        <v>2.227E9</v>
      </c>
    </row>
    <row r="92" ht="16.5" customHeight="1">
      <c r="A92" s="5" t="s">
        <v>74</v>
      </c>
      <c r="B92" s="6">
        <v>2015.0</v>
      </c>
      <c r="C92" s="5" t="s">
        <v>75</v>
      </c>
      <c r="D92" s="8">
        <v>1.51E8</v>
      </c>
      <c r="E92" s="8">
        <v>8.373E9</v>
      </c>
      <c r="F92" s="8">
        <v>5.175E9</v>
      </c>
      <c r="G92" s="8">
        <v>3.3367E10</v>
      </c>
      <c r="H92" s="8">
        <v>9.03E8</v>
      </c>
      <c r="I92" s="8">
        <v>1.833E9</v>
      </c>
    </row>
    <row r="93" ht="16.5" customHeight="1">
      <c r="A93" s="5" t="s">
        <v>74</v>
      </c>
      <c r="B93" s="6">
        <v>2016.0</v>
      </c>
      <c r="C93" s="5" t="s">
        <v>75</v>
      </c>
      <c r="D93" s="8">
        <v>1.46E8</v>
      </c>
      <c r="E93" s="8">
        <v>3.571E9</v>
      </c>
      <c r="F93" s="8">
        <v>2.889E9</v>
      </c>
      <c r="G93" s="8">
        <v>2.8898E10</v>
      </c>
      <c r="H93" s="8">
        <v>3.16E8</v>
      </c>
      <c r="I93" s="8">
        <v>1.404E9</v>
      </c>
    </row>
    <row r="94" ht="16.5" customHeight="1">
      <c r="A94" s="5" t="s">
        <v>74</v>
      </c>
      <c r="B94" s="6">
        <v>2017.0</v>
      </c>
      <c r="C94" s="5" t="s">
        <v>75</v>
      </c>
      <c r="D94" s="8">
        <v>1.17E8</v>
      </c>
      <c r="E94" s="8">
        <v>5.011E9</v>
      </c>
      <c r="F94" s="8">
        <v>3.854E9</v>
      </c>
      <c r="G94" s="8">
        <v>2.5199E10</v>
      </c>
      <c r="H94" s="8">
        <v>8.23E8</v>
      </c>
      <c r="I94" s="8">
        <v>1.289E9</v>
      </c>
    </row>
    <row r="95" ht="16.5" customHeight="1">
      <c r="A95" s="5" t="s">
        <v>74</v>
      </c>
      <c r="B95" s="6">
        <v>2018.0</v>
      </c>
      <c r="C95" s="5" t="s">
        <v>75</v>
      </c>
      <c r="D95" s="8">
        <v>1.5E8</v>
      </c>
      <c r="E95" s="8">
        <v>3.766E9</v>
      </c>
      <c r="F95" s="8">
        <v>4.449E9</v>
      </c>
      <c r="G95" s="8">
        <v>2.4257E10</v>
      </c>
      <c r="H95" s="8">
        <v>6.38E8</v>
      </c>
      <c r="I95" s="8">
        <v>1.293E9</v>
      </c>
    </row>
    <row r="96" ht="16.5" customHeight="1">
      <c r="A96" s="5" t="s">
        <v>74</v>
      </c>
      <c r="B96" s="6">
        <v>2019.0</v>
      </c>
      <c r="C96" s="5" t="s">
        <v>75</v>
      </c>
      <c r="D96" s="8">
        <v>1.546E9</v>
      </c>
      <c r="E96" s="8">
        <v>5.163E9</v>
      </c>
      <c r="F96" s="8">
        <v>4.267E9</v>
      </c>
      <c r="G96" s="8">
        <v>2.5743E10</v>
      </c>
      <c r="H96" s="8">
        <v>1.17E9</v>
      </c>
      <c r="I96" s="8">
        <v>1.325E9</v>
      </c>
    </row>
    <row r="97" ht="16.5" customHeight="1">
      <c r="A97" s="5" t="s">
        <v>74</v>
      </c>
      <c r="B97" s="6">
        <v>2020.0</v>
      </c>
      <c r="C97" s="5" t="s">
        <v>75</v>
      </c>
      <c r="D97" s="8">
        <v>1.24E9</v>
      </c>
      <c r="E97" s="8">
        <v>4.666E9</v>
      </c>
      <c r="F97" s="8">
        <v>4.637E9</v>
      </c>
      <c r="G97" s="8">
        <v>2.5093E10</v>
      </c>
      <c r="H97" s="8">
        <v>8.46E8</v>
      </c>
      <c r="I97" s="8">
        <v>9.51E8</v>
      </c>
    </row>
    <row r="98" ht="16.5" customHeight="1">
      <c r="A98" s="5" t="s">
        <v>74</v>
      </c>
      <c r="B98" s="6">
        <v>2021.0</v>
      </c>
      <c r="C98" s="5" t="s">
        <v>75</v>
      </c>
      <c r="D98" s="8">
        <v>4.72E8</v>
      </c>
      <c r="E98" s="8">
        <v>4.283E9</v>
      </c>
      <c r="F98" s="8">
        <v>5.939E9</v>
      </c>
      <c r="G98" s="8">
        <v>2.1037E10</v>
      </c>
      <c r="H98" s="8">
        <v>-4.37E8</v>
      </c>
      <c r="I98" s="8">
        <v>9.64E8</v>
      </c>
    </row>
    <row r="99" ht="16.5" customHeight="1">
      <c r="A99" s="5" t="s">
        <v>74</v>
      </c>
      <c r="B99" s="6">
        <v>2022.0</v>
      </c>
      <c r="C99" s="5" t="s">
        <v>75</v>
      </c>
      <c r="D99" s="8">
        <v>6.2E8</v>
      </c>
      <c r="E99" s="8">
        <v>8.342E9</v>
      </c>
      <c r="F99" s="8">
        <v>6.928E9</v>
      </c>
      <c r="G99" s="8">
        <v>2.402E10</v>
      </c>
      <c r="H99" s="8">
        <v>7.82E8</v>
      </c>
      <c r="I99" s="8">
        <v>5.31E8</v>
      </c>
    </row>
    <row r="100" ht="16.5" customHeight="1">
      <c r="A100" s="5" t="s">
        <v>74</v>
      </c>
      <c r="B100" s="6">
        <v>2023.0</v>
      </c>
      <c r="C100" s="5" t="s">
        <v>75</v>
      </c>
      <c r="D100" s="8">
        <v>4.63E8</v>
      </c>
      <c r="E100" s="8">
        <v>4.979E9</v>
      </c>
      <c r="F100" s="8">
        <v>4.775E9</v>
      </c>
      <c r="G100" s="8">
        <v>1.8948E10</v>
      </c>
      <c r="H100" s="8">
        <v>1.146E9</v>
      </c>
      <c r="I100" s="8">
        <v>-6.33E8</v>
      </c>
    </row>
    <row r="101" ht="16.5" customHeight="1">
      <c r="A101" s="5" t="s">
        <v>74</v>
      </c>
      <c r="B101" s="6">
        <v>2024.0</v>
      </c>
      <c r="C101" s="5" t="s">
        <v>75</v>
      </c>
      <c r="D101" s="8">
        <v>6.25E8</v>
      </c>
      <c r="E101" s="8">
        <v>6.009E9</v>
      </c>
      <c r="F101" s="8">
        <v>5.576E9</v>
      </c>
      <c r="G101" s="8">
        <v>2.0454E10</v>
      </c>
      <c r="H101" s="8">
        <v>1.062E9</v>
      </c>
      <c r="I101" s="8">
        <v>1.114E9</v>
      </c>
    </row>
    <row r="102" ht="16.5" customHeight="1">
      <c r="A102" s="5"/>
      <c r="B102" s="5"/>
      <c r="C102" s="5"/>
    </row>
    <row r="103" ht="16.5" customHeight="1">
      <c r="A103" s="5"/>
      <c r="B103" s="5"/>
      <c r="C103" s="5"/>
    </row>
    <row r="104" ht="16.5" customHeight="1">
      <c r="A104" s="5"/>
      <c r="B104" s="5"/>
      <c r="C104" s="5"/>
    </row>
    <row r="105" ht="16.5" customHeight="1">
      <c r="A105" s="5"/>
      <c r="B105" s="5"/>
      <c r="C105" s="5"/>
    </row>
    <row r="106" ht="16.5" customHeight="1">
      <c r="A106" s="5"/>
      <c r="B106" s="5"/>
      <c r="C106" s="5"/>
    </row>
    <row r="107" ht="16.5" customHeight="1">
      <c r="A107" s="5"/>
      <c r="B107" s="5"/>
      <c r="C107" s="5"/>
    </row>
    <row r="108" ht="16.5" customHeight="1">
      <c r="A108" s="5"/>
      <c r="B108" s="5"/>
      <c r="C108" s="5"/>
    </row>
    <row r="109" ht="16.5" customHeight="1">
      <c r="A109" s="5"/>
      <c r="B109" s="5"/>
      <c r="C109" s="5"/>
    </row>
    <row r="110" ht="16.5" customHeight="1">
      <c r="A110" s="5"/>
      <c r="B110" s="5"/>
      <c r="C110" s="5"/>
    </row>
    <row r="111" ht="16.5" customHeight="1">
      <c r="A111" s="5"/>
      <c r="B111" s="5"/>
      <c r="C111" s="5"/>
    </row>
    <row r="112" ht="16.5" customHeight="1">
      <c r="A112" s="5"/>
      <c r="B112" s="5"/>
      <c r="C112" s="5"/>
    </row>
    <row r="113" ht="16.5" customHeight="1">
      <c r="A113" s="5"/>
      <c r="B113" s="5"/>
      <c r="C113" s="5"/>
    </row>
    <row r="114" ht="16.5" customHeight="1">
      <c r="A114" s="5"/>
      <c r="B114" s="5"/>
      <c r="C114" s="5"/>
    </row>
    <row r="115" ht="16.5" customHeight="1">
      <c r="A115" s="5"/>
      <c r="B115" s="5"/>
      <c r="C115" s="5"/>
    </row>
    <row r="116" ht="16.5" customHeight="1">
      <c r="A116" s="5"/>
      <c r="B116" s="5"/>
      <c r="C116" s="5"/>
    </row>
    <row r="117" ht="16.5" customHeight="1">
      <c r="A117" s="5"/>
      <c r="B117" s="5"/>
      <c r="C117" s="5"/>
    </row>
    <row r="118" ht="16.5" customHeight="1">
      <c r="A118" s="5"/>
      <c r="B118" s="5"/>
      <c r="C118" s="5"/>
    </row>
    <row r="119" ht="16.5" customHeight="1">
      <c r="A119" s="5"/>
      <c r="B119" s="5"/>
      <c r="C119" s="5"/>
    </row>
    <row r="120" ht="16.5" customHeight="1">
      <c r="A120" s="5"/>
      <c r="B120" s="5"/>
      <c r="C120" s="5"/>
    </row>
    <row r="121" ht="16.5" customHeight="1">
      <c r="A121" s="5"/>
      <c r="B121" s="5"/>
      <c r="C121" s="5"/>
    </row>
    <row r="122" ht="16.5" customHeight="1">
      <c r="A122" s="5"/>
      <c r="B122" s="5"/>
      <c r="C122" s="5"/>
    </row>
    <row r="123" ht="16.5" customHeight="1">
      <c r="A123" s="5"/>
      <c r="B123" s="5"/>
      <c r="C123" s="5"/>
    </row>
    <row r="124" ht="16.5" customHeight="1">
      <c r="A124" s="5"/>
      <c r="B124" s="5"/>
      <c r="C124" s="5"/>
    </row>
    <row r="125" ht="16.5" customHeight="1">
      <c r="A125" s="5"/>
      <c r="B125" s="5"/>
      <c r="C125" s="5"/>
    </row>
    <row r="126" ht="16.5" customHeight="1">
      <c r="A126" s="5"/>
      <c r="B126" s="5"/>
      <c r="C126" s="5"/>
    </row>
    <row r="127" ht="16.5" customHeight="1">
      <c r="A127" s="5"/>
      <c r="B127" s="5"/>
      <c r="C127" s="5"/>
    </row>
    <row r="128" ht="16.5" customHeight="1">
      <c r="A128" s="5"/>
      <c r="B128" s="5"/>
      <c r="C128" s="5"/>
    </row>
    <row r="129" ht="16.5" customHeight="1">
      <c r="A129" s="5"/>
      <c r="B129" s="5"/>
      <c r="C129" s="5"/>
    </row>
    <row r="130" ht="16.5" customHeight="1">
      <c r="A130" s="5"/>
      <c r="B130" s="5"/>
      <c r="C130" s="5"/>
    </row>
    <row r="131" ht="16.5" customHeight="1">
      <c r="A131" s="5"/>
      <c r="B131" s="5"/>
      <c r="C131" s="5"/>
    </row>
    <row r="132" ht="16.5" customHeight="1">
      <c r="A132" s="5"/>
      <c r="B132" s="5"/>
      <c r="C132" s="5"/>
    </row>
    <row r="133" ht="16.5" customHeight="1">
      <c r="A133" s="5"/>
      <c r="B133" s="5"/>
      <c r="C133" s="5"/>
    </row>
    <row r="134" ht="16.5" customHeight="1">
      <c r="A134" s="5"/>
      <c r="B134" s="5"/>
      <c r="C134" s="5"/>
    </row>
    <row r="135" ht="16.5" customHeight="1">
      <c r="A135" s="5"/>
      <c r="B135" s="5"/>
      <c r="C135" s="5"/>
    </row>
    <row r="136" ht="16.5" customHeight="1">
      <c r="A136" s="5"/>
      <c r="B136" s="5"/>
      <c r="C136" s="5"/>
    </row>
    <row r="137" ht="16.5" customHeight="1">
      <c r="A137" s="5"/>
      <c r="B137" s="5"/>
      <c r="C137" s="5"/>
    </row>
    <row r="138" ht="16.5" customHeight="1">
      <c r="A138" s="5"/>
      <c r="B138" s="5"/>
      <c r="C138" s="5"/>
    </row>
    <row r="139" ht="16.5" customHeight="1">
      <c r="A139" s="5"/>
      <c r="B139" s="5"/>
      <c r="C139" s="5"/>
    </row>
    <row r="140" ht="16.5" customHeight="1">
      <c r="A140" s="5"/>
      <c r="B140" s="5"/>
      <c r="C140" s="5"/>
    </row>
    <row r="141" ht="16.5" customHeight="1">
      <c r="A141" s="5"/>
      <c r="B141" s="5"/>
      <c r="C141" s="5"/>
    </row>
    <row r="142" ht="16.5" customHeight="1">
      <c r="A142" s="5"/>
      <c r="B142" s="5"/>
      <c r="C142" s="5"/>
    </row>
    <row r="143" ht="16.5" customHeight="1">
      <c r="A143" s="5"/>
      <c r="B143" s="5"/>
      <c r="C143" s="5"/>
    </row>
    <row r="144" ht="16.5" customHeight="1">
      <c r="A144" s="5"/>
      <c r="B144" s="5"/>
      <c r="C144" s="5"/>
    </row>
    <row r="145" ht="16.5" customHeight="1">
      <c r="A145" s="5"/>
      <c r="B145" s="5"/>
      <c r="C145" s="5"/>
    </row>
    <row r="146" ht="16.5" customHeight="1">
      <c r="A146" s="5"/>
      <c r="B146" s="5"/>
      <c r="C146" s="5"/>
    </row>
    <row r="147" ht="16.5" customHeight="1">
      <c r="A147" s="5"/>
      <c r="B147" s="5"/>
      <c r="C147" s="5"/>
    </row>
    <row r="148" ht="16.5" customHeight="1">
      <c r="A148" s="5"/>
      <c r="B148" s="5"/>
      <c r="C148" s="5"/>
    </row>
    <row r="149" ht="16.5" customHeight="1">
      <c r="A149" s="5"/>
      <c r="B149" s="5"/>
      <c r="C149" s="5"/>
    </row>
    <row r="150" ht="16.5" customHeight="1">
      <c r="A150" s="5"/>
      <c r="B150" s="5"/>
      <c r="C150" s="5"/>
    </row>
    <row r="151" ht="16.5" customHeight="1">
      <c r="A151" s="5"/>
      <c r="B151" s="5"/>
      <c r="C151" s="5"/>
    </row>
    <row r="152" ht="16.5" customHeight="1">
      <c r="A152" s="5"/>
      <c r="B152" s="5"/>
      <c r="C152" s="5"/>
    </row>
    <row r="153" ht="16.5" customHeight="1">
      <c r="A153" s="5"/>
      <c r="B153" s="5"/>
      <c r="C153" s="5"/>
    </row>
    <row r="154" ht="16.5" customHeight="1">
      <c r="A154" s="5"/>
      <c r="B154" s="5"/>
      <c r="C154" s="5"/>
    </row>
    <row r="155" ht="16.5" customHeight="1">
      <c r="A155" s="5"/>
      <c r="B155" s="5"/>
      <c r="C155" s="5"/>
    </row>
    <row r="156" ht="16.5" customHeight="1">
      <c r="A156" s="5"/>
      <c r="B156" s="5"/>
      <c r="C156" s="5"/>
    </row>
    <row r="157" ht="16.5" customHeight="1">
      <c r="A157" s="5"/>
      <c r="B157" s="5"/>
      <c r="C157" s="5"/>
    </row>
    <row r="158" ht="16.5" customHeight="1">
      <c r="A158" s="5"/>
      <c r="B158" s="5"/>
      <c r="C158" s="5"/>
    </row>
    <row r="159" ht="16.5" customHeight="1">
      <c r="A159" s="5"/>
      <c r="B159" s="5"/>
      <c r="C159" s="5"/>
    </row>
    <row r="160" ht="16.5" customHeight="1">
      <c r="A160" s="5"/>
      <c r="B160" s="5"/>
      <c r="C160" s="5"/>
    </row>
    <row r="161" ht="16.5" customHeight="1">
      <c r="A161" s="5"/>
      <c r="B161" s="5"/>
      <c r="C161" s="5"/>
    </row>
    <row r="162" ht="16.5" customHeight="1">
      <c r="A162" s="5"/>
      <c r="B162" s="5"/>
      <c r="C162" s="5"/>
    </row>
    <row r="163" ht="16.5" customHeight="1">
      <c r="A163" s="5"/>
      <c r="B163" s="5"/>
      <c r="C163" s="5"/>
    </row>
    <row r="164" ht="16.5" customHeight="1">
      <c r="A164" s="5"/>
      <c r="B164" s="5"/>
      <c r="C164" s="5"/>
    </row>
    <row r="165" ht="16.5" customHeight="1">
      <c r="A165" s="5"/>
      <c r="B165" s="5"/>
      <c r="C165" s="5"/>
    </row>
    <row r="166" ht="16.5" customHeight="1">
      <c r="A166" s="5"/>
      <c r="B166" s="5"/>
      <c r="C166" s="5"/>
    </row>
    <row r="167" ht="16.5" customHeight="1">
      <c r="A167" s="5"/>
      <c r="B167" s="5"/>
      <c r="C167" s="5"/>
    </row>
    <row r="168" ht="16.5" customHeight="1">
      <c r="A168" s="5"/>
      <c r="B168" s="5"/>
      <c r="C168" s="5"/>
    </row>
    <row r="169" ht="16.5" customHeight="1">
      <c r="A169" s="5"/>
      <c r="B169" s="5"/>
      <c r="C169" s="5"/>
    </row>
    <row r="170" ht="16.5" customHeight="1">
      <c r="A170" s="5"/>
      <c r="B170" s="5"/>
      <c r="C170" s="5"/>
    </row>
    <row r="171" ht="16.5" customHeight="1">
      <c r="A171" s="5"/>
      <c r="B171" s="5"/>
      <c r="C171" s="5"/>
    </row>
    <row r="172" ht="16.5" customHeight="1">
      <c r="A172" s="5"/>
      <c r="B172" s="5"/>
      <c r="C172" s="5"/>
    </row>
    <row r="173" ht="16.5" customHeight="1">
      <c r="A173" s="5"/>
      <c r="B173" s="5"/>
      <c r="C173" s="5"/>
    </row>
    <row r="174" ht="16.5" customHeight="1">
      <c r="A174" s="5"/>
      <c r="B174" s="5"/>
      <c r="C174" s="5"/>
    </row>
    <row r="175" ht="16.5" customHeight="1">
      <c r="A175" s="5"/>
      <c r="B175" s="5"/>
      <c r="C175" s="5"/>
    </row>
    <row r="176" ht="16.5" customHeight="1">
      <c r="A176" s="5"/>
      <c r="B176" s="5"/>
      <c r="C176" s="5"/>
    </row>
    <row r="177" ht="16.5" customHeight="1">
      <c r="A177" s="5"/>
      <c r="B177" s="5"/>
      <c r="C177" s="5"/>
    </row>
    <row r="178" ht="16.5" customHeight="1">
      <c r="A178" s="5"/>
      <c r="B178" s="5"/>
      <c r="C178" s="5"/>
    </row>
    <row r="179" ht="16.5" customHeight="1">
      <c r="A179" s="5"/>
      <c r="B179" s="5"/>
      <c r="C179" s="5"/>
    </row>
    <row r="180" ht="16.5" customHeight="1">
      <c r="A180" s="5"/>
      <c r="B180" s="5"/>
      <c r="C180" s="5"/>
    </row>
    <row r="181" ht="16.5" customHeight="1">
      <c r="A181" s="5"/>
      <c r="B181" s="5"/>
      <c r="C181" s="5"/>
    </row>
    <row r="182" ht="16.5" customHeight="1">
      <c r="A182" s="5"/>
      <c r="B182" s="5"/>
      <c r="C182" s="5"/>
    </row>
    <row r="183" ht="16.5" customHeight="1">
      <c r="A183" s="5"/>
      <c r="B183" s="5"/>
      <c r="C183" s="5"/>
    </row>
    <row r="184" ht="16.5" customHeight="1">
      <c r="A184" s="5"/>
      <c r="B184" s="5"/>
      <c r="C184" s="5"/>
    </row>
    <row r="185" ht="16.5" customHeight="1">
      <c r="A185" s="5"/>
      <c r="B185" s="5"/>
      <c r="C185" s="5"/>
    </row>
    <row r="186" ht="16.5" customHeight="1">
      <c r="A186" s="5"/>
      <c r="B186" s="5"/>
      <c r="C186" s="5"/>
    </row>
    <row r="187" ht="16.5" customHeight="1">
      <c r="A187" s="5"/>
      <c r="B187" s="5"/>
      <c r="C187" s="5"/>
    </row>
    <row r="188" ht="16.5" customHeight="1">
      <c r="A188" s="5"/>
      <c r="B188" s="5"/>
      <c r="C188" s="5"/>
    </row>
    <row r="189" ht="16.5" customHeight="1">
      <c r="A189" s="5"/>
      <c r="B189" s="5"/>
      <c r="C189" s="5"/>
    </row>
    <row r="190" ht="16.5" customHeight="1">
      <c r="A190" s="5"/>
      <c r="B190" s="5"/>
      <c r="C190" s="5"/>
    </row>
    <row r="191" ht="16.5" customHeight="1">
      <c r="A191" s="5"/>
      <c r="B191" s="5"/>
      <c r="C191" s="5"/>
    </row>
    <row r="192" ht="16.5" customHeight="1">
      <c r="A192" s="5"/>
      <c r="B192" s="5"/>
      <c r="C192" s="5"/>
    </row>
    <row r="193" ht="16.5" customHeight="1">
      <c r="A193" s="5"/>
      <c r="B193" s="5"/>
      <c r="C193" s="5"/>
    </row>
    <row r="194" ht="16.5" customHeight="1">
      <c r="A194" s="5"/>
      <c r="B194" s="5"/>
      <c r="C194" s="5"/>
    </row>
    <row r="195" ht="16.5" customHeight="1">
      <c r="A195" s="5"/>
      <c r="B195" s="5"/>
      <c r="C195" s="5"/>
    </row>
    <row r="196" ht="16.5" customHeight="1">
      <c r="A196" s="5"/>
      <c r="B196" s="5"/>
      <c r="C196" s="5"/>
    </row>
    <row r="197" ht="16.5" customHeight="1">
      <c r="A197" s="5"/>
      <c r="B197" s="5"/>
      <c r="C197" s="5"/>
    </row>
    <row r="198" ht="16.5" customHeight="1">
      <c r="A198" s="5"/>
      <c r="B198" s="5"/>
      <c r="C198" s="5"/>
    </row>
    <row r="199" ht="16.5" customHeight="1">
      <c r="A199" s="5"/>
      <c r="B199" s="5"/>
      <c r="C199" s="5"/>
    </row>
    <row r="200" ht="16.5" customHeight="1">
      <c r="A200" s="5"/>
      <c r="B200" s="5"/>
      <c r="C200" s="5"/>
    </row>
    <row r="201" ht="16.5" customHeight="1">
      <c r="A201" s="5"/>
      <c r="B201" s="5"/>
      <c r="C201" s="5"/>
    </row>
    <row r="202" ht="16.5" customHeight="1">
      <c r="A202" s="5"/>
      <c r="B202" s="5"/>
      <c r="C202" s="5"/>
    </row>
    <row r="203" ht="16.5" customHeight="1">
      <c r="A203" s="5"/>
      <c r="B203" s="5"/>
      <c r="C203" s="5"/>
    </row>
    <row r="204" ht="16.5" customHeight="1">
      <c r="A204" s="5"/>
      <c r="B204" s="5"/>
      <c r="C204" s="5"/>
    </row>
    <row r="205" ht="16.5" customHeight="1">
      <c r="A205" s="5"/>
      <c r="B205" s="5"/>
      <c r="C205" s="5"/>
    </row>
    <row r="206" ht="16.5" customHeight="1">
      <c r="A206" s="5"/>
      <c r="B206" s="5"/>
      <c r="C206" s="5"/>
    </row>
    <row r="207" ht="16.5" customHeight="1">
      <c r="A207" s="5"/>
      <c r="B207" s="5"/>
      <c r="C207" s="5"/>
    </row>
    <row r="208" ht="16.5" customHeight="1">
      <c r="A208" s="5"/>
      <c r="B208" s="5"/>
      <c r="C208" s="5"/>
    </row>
    <row r="209" ht="16.5" customHeight="1">
      <c r="A209" s="5"/>
      <c r="B209" s="5"/>
      <c r="C209" s="5"/>
    </row>
    <row r="210" ht="16.5" customHeight="1">
      <c r="A210" s="5"/>
      <c r="B210" s="5"/>
      <c r="C210" s="5"/>
    </row>
    <row r="211" ht="16.5" customHeight="1">
      <c r="A211" s="5"/>
      <c r="B211" s="5"/>
      <c r="C211" s="5"/>
    </row>
    <row r="212" ht="16.5" customHeight="1">
      <c r="A212" s="5"/>
      <c r="B212" s="5"/>
      <c r="C212" s="5"/>
    </row>
    <row r="213" ht="16.5" customHeight="1">
      <c r="A213" s="5"/>
      <c r="B213" s="5"/>
      <c r="C213" s="5"/>
    </row>
    <row r="214" ht="16.5" customHeight="1">
      <c r="A214" s="5"/>
      <c r="B214" s="5"/>
      <c r="C214" s="5"/>
    </row>
    <row r="215" ht="16.5" customHeight="1">
      <c r="A215" s="5"/>
      <c r="B215" s="5"/>
      <c r="C215" s="5"/>
    </row>
    <row r="216" ht="16.5" customHeight="1">
      <c r="A216" s="5"/>
      <c r="B216" s="5"/>
      <c r="C216" s="5"/>
    </row>
    <row r="217" ht="16.5" customHeight="1">
      <c r="A217" s="5"/>
      <c r="B217" s="5"/>
      <c r="C217" s="5"/>
    </row>
    <row r="218" ht="16.5" customHeight="1">
      <c r="A218" s="5"/>
      <c r="B218" s="5"/>
      <c r="C218" s="5"/>
    </row>
    <row r="219" ht="16.5" customHeight="1">
      <c r="A219" s="5"/>
      <c r="B219" s="5"/>
      <c r="C219" s="5"/>
    </row>
    <row r="220" ht="16.5" customHeight="1">
      <c r="A220" s="5"/>
      <c r="B220" s="5"/>
      <c r="C220" s="5"/>
    </row>
    <row r="221" ht="16.5" customHeight="1">
      <c r="A221" s="5"/>
      <c r="B221" s="5"/>
      <c r="C221" s="5"/>
    </row>
    <row r="222" ht="16.5" customHeight="1">
      <c r="A222" s="5"/>
      <c r="B222" s="5"/>
      <c r="C222" s="5"/>
    </row>
    <row r="223" ht="16.5" customHeight="1">
      <c r="A223" s="5"/>
      <c r="B223" s="5"/>
      <c r="C223" s="5"/>
    </row>
    <row r="224" ht="16.5" customHeight="1">
      <c r="A224" s="5"/>
      <c r="B224" s="5"/>
      <c r="C224" s="5"/>
    </row>
    <row r="225" ht="16.5" customHeight="1">
      <c r="A225" s="5"/>
      <c r="B225" s="5"/>
      <c r="C225" s="5"/>
    </row>
    <row r="226" ht="16.5" customHeight="1">
      <c r="A226" s="5"/>
      <c r="B226" s="5"/>
      <c r="C226" s="5"/>
    </row>
    <row r="227" ht="16.5" customHeight="1">
      <c r="A227" s="5"/>
      <c r="B227" s="5"/>
      <c r="C227" s="5"/>
    </row>
    <row r="228" ht="16.5" customHeight="1">
      <c r="A228" s="5"/>
      <c r="B228" s="5"/>
      <c r="C228" s="5"/>
    </row>
    <row r="229" ht="16.5" customHeight="1">
      <c r="A229" s="5"/>
      <c r="B229" s="5"/>
      <c r="C229" s="5"/>
    </row>
    <row r="230" ht="16.5" customHeight="1">
      <c r="A230" s="5"/>
      <c r="B230" s="5"/>
      <c r="C230" s="5"/>
    </row>
    <row r="231" ht="16.5" customHeight="1">
      <c r="A231" s="5"/>
      <c r="B231" s="5"/>
      <c r="C231" s="5"/>
    </row>
    <row r="232" ht="16.5" customHeight="1">
      <c r="A232" s="5"/>
      <c r="B232" s="5"/>
      <c r="C232" s="5"/>
    </row>
    <row r="233" ht="16.5" customHeight="1">
      <c r="A233" s="5"/>
      <c r="B233" s="5"/>
      <c r="C233" s="5"/>
    </row>
    <row r="234" ht="16.5" customHeight="1">
      <c r="A234" s="5"/>
      <c r="B234" s="5"/>
      <c r="C234" s="5"/>
    </row>
    <row r="235" ht="16.5" customHeight="1">
      <c r="A235" s="5"/>
      <c r="B235" s="5"/>
      <c r="C235" s="5"/>
    </row>
    <row r="236" ht="16.5" customHeight="1">
      <c r="A236" s="5"/>
      <c r="B236" s="5"/>
      <c r="C236" s="5"/>
    </row>
    <row r="237" ht="16.5" customHeight="1">
      <c r="A237" s="5"/>
      <c r="B237" s="5"/>
      <c r="C237" s="5"/>
    </row>
    <row r="238" ht="16.5" customHeight="1">
      <c r="A238" s="5"/>
      <c r="B238" s="5"/>
      <c r="C238" s="5"/>
    </row>
    <row r="239" ht="16.5" customHeight="1">
      <c r="A239" s="5"/>
      <c r="B239" s="5"/>
      <c r="C239" s="5"/>
    </row>
    <row r="240" ht="16.5" customHeight="1">
      <c r="A240" s="5"/>
      <c r="B240" s="5"/>
      <c r="C240" s="5"/>
    </row>
    <row r="241" ht="16.5" customHeight="1">
      <c r="A241" s="5"/>
      <c r="B241" s="5"/>
      <c r="C241" s="5"/>
    </row>
    <row r="242" ht="16.5" customHeight="1">
      <c r="A242" s="5"/>
      <c r="B242" s="5"/>
      <c r="C242" s="5"/>
    </row>
    <row r="243" ht="16.5" customHeight="1">
      <c r="A243" s="5"/>
      <c r="B243" s="5"/>
      <c r="C243" s="5"/>
    </row>
    <row r="244" ht="16.5" customHeight="1">
      <c r="A244" s="5"/>
      <c r="B244" s="5"/>
      <c r="C244" s="5"/>
    </row>
    <row r="245" ht="16.5" customHeight="1">
      <c r="A245" s="5"/>
      <c r="B245" s="5"/>
      <c r="C245" s="5"/>
    </row>
    <row r="246" ht="16.5" customHeight="1">
      <c r="A246" s="5"/>
      <c r="B246" s="5"/>
      <c r="C246" s="5"/>
    </row>
    <row r="247" ht="16.5" customHeight="1">
      <c r="A247" s="5"/>
      <c r="B247" s="5"/>
      <c r="C247" s="5"/>
    </row>
    <row r="248" ht="16.5" customHeight="1">
      <c r="A248" s="5"/>
      <c r="B248" s="5"/>
      <c r="C248" s="5"/>
    </row>
    <row r="249" ht="16.5" customHeight="1">
      <c r="A249" s="5"/>
      <c r="B249" s="5"/>
      <c r="C249" s="5"/>
    </row>
    <row r="250" ht="16.5" customHeight="1">
      <c r="A250" s="5"/>
      <c r="B250" s="5"/>
      <c r="C250" s="5"/>
    </row>
    <row r="251" ht="16.5" customHeight="1">
      <c r="A251" s="5"/>
      <c r="B251" s="5"/>
      <c r="C251" s="5"/>
    </row>
    <row r="252" ht="16.5" customHeight="1">
      <c r="A252" s="5"/>
      <c r="B252" s="5"/>
      <c r="C252" s="5"/>
    </row>
    <row r="253" ht="16.5" customHeight="1">
      <c r="A253" s="5"/>
      <c r="B253" s="5"/>
      <c r="C253" s="5"/>
    </row>
    <row r="254" ht="16.5" customHeight="1">
      <c r="A254" s="5"/>
      <c r="B254" s="5"/>
      <c r="C254" s="5"/>
    </row>
    <row r="255" ht="16.5" customHeight="1">
      <c r="A255" s="5"/>
      <c r="B255" s="5"/>
      <c r="C255" s="5"/>
    </row>
    <row r="256" ht="16.5" customHeight="1">
      <c r="A256" s="5"/>
      <c r="B256" s="5"/>
      <c r="C256" s="5"/>
    </row>
    <row r="257" ht="16.5" customHeight="1">
      <c r="A257" s="5"/>
      <c r="B257" s="5"/>
      <c r="C257" s="5"/>
    </row>
    <row r="258" ht="16.5" customHeight="1">
      <c r="A258" s="5"/>
      <c r="B258" s="5"/>
      <c r="C258" s="5"/>
    </row>
    <row r="259" ht="16.5" customHeight="1">
      <c r="A259" s="5"/>
      <c r="B259" s="5"/>
      <c r="C259" s="5"/>
    </row>
    <row r="260" ht="16.5" customHeight="1">
      <c r="A260" s="5"/>
      <c r="B260" s="5"/>
      <c r="C260" s="5"/>
    </row>
    <row r="261" ht="16.5" customHeight="1">
      <c r="A261" s="5"/>
      <c r="B261" s="5"/>
      <c r="C261" s="5"/>
    </row>
    <row r="262" ht="16.5" customHeight="1">
      <c r="A262" s="5"/>
      <c r="B262" s="5"/>
      <c r="C262" s="5"/>
    </row>
    <row r="263" ht="16.5" customHeight="1">
      <c r="A263" s="5"/>
      <c r="B263" s="5"/>
      <c r="C263" s="5"/>
    </row>
    <row r="264" ht="16.5" customHeight="1">
      <c r="A264" s="5"/>
      <c r="B264" s="5"/>
      <c r="C264" s="5"/>
    </row>
    <row r="265" ht="16.5" customHeight="1">
      <c r="A265" s="5"/>
      <c r="B265" s="5"/>
      <c r="C265" s="5"/>
    </row>
    <row r="266" ht="16.5" customHeight="1">
      <c r="A266" s="5"/>
      <c r="B266" s="5"/>
      <c r="C266" s="5"/>
    </row>
    <row r="267" ht="16.5" customHeight="1">
      <c r="A267" s="5"/>
      <c r="B267" s="5"/>
      <c r="C267" s="5"/>
    </row>
    <row r="268" ht="16.5" customHeight="1">
      <c r="A268" s="5"/>
      <c r="B268" s="5"/>
      <c r="C268" s="5"/>
    </row>
    <row r="269" ht="16.5" customHeight="1">
      <c r="A269" s="5"/>
      <c r="B269" s="5"/>
      <c r="C269" s="5"/>
    </row>
    <row r="270" ht="16.5" customHeight="1">
      <c r="A270" s="5"/>
      <c r="B270" s="5"/>
      <c r="C270" s="5"/>
    </row>
    <row r="271" ht="16.5" customHeight="1">
      <c r="A271" s="5"/>
      <c r="B271" s="5"/>
      <c r="C271" s="5"/>
    </row>
    <row r="272" ht="16.5" customHeight="1">
      <c r="A272" s="5"/>
      <c r="B272" s="5"/>
      <c r="C272" s="5"/>
    </row>
    <row r="273" ht="16.5" customHeight="1">
      <c r="A273" s="5"/>
      <c r="B273" s="5"/>
      <c r="C273" s="5"/>
    </row>
    <row r="274" ht="16.5" customHeight="1">
      <c r="A274" s="5"/>
      <c r="B274" s="5"/>
      <c r="C274" s="5"/>
    </row>
    <row r="275" ht="16.5" customHeight="1">
      <c r="A275" s="5"/>
      <c r="B275" s="5"/>
      <c r="C275" s="5"/>
    </row>
    <row r="276" ht="16.5" customHeight="1">
      <c r="A276" s="5"/>
      <c r="B276" s="5"/>
      <c r="C276" s="5"/>
    </row>
    <row r="277" ht="16.5" customHeight="1">
      <c r="A277" s="5"/>
      <c r="B277" s="5"/>
      <c r="C277" s="5"/>
    </row>
    <row r="278" ht="16.5" customHeight="1">
      <c r="A278" s="5"/>
      <c r="B278" s="5"/>
      <c r="C278" s="5"/>
    </row>
    <row r="279" ht="16.5" customHeight="1">
      <c r="A279" s="5"/>
      <c r="B279" s="5"/>
      <c r="C279" s="5"/>
    </row>
    <row r="280" ht="16.5" customHeight="1">
      <c r="A280" s="5"/>
      <c r="B280" s="5"/>
      <c r="C280" s="5"/>
    </row>
    <row r="281" ht="16.5" customHeight="1">
      <c r="A281" s="5"/>
      <c r="B281" s="5"/>
      <c r="C281" s="5"/>
    </row>
    <row r="282" ht="16.5" customHeight="1">
      <c r="A282" s="5"/>
      <c r="B282" s="5"/>
      <c r="C282" s="5"/>
    </row>
    <row r="283" ht="16.5" customHeight="1">
      <c r="A283" s="5"/>
      <c r="B283" s="5"/>
      <c r="C283" s="5"/>
    </row>
    <row r="284" ht="16.5" customHeight="1">
      <c r="A284" s="5"/>
      <c r="B284" s="5"/>
      <c r="C284" s="5"/>
    </row>
    <row r="285" ht="16.5" customHeight="1">
      <c r="A285" s="5"/>
      <c r="B285" s="5"/>
      <c r="C285" s="5"/>
    </row>
    <row r="286" ht="16.5" customHeight="1">
      <c r="A286" s="5"/>
      <c r="B286" s="5"/>
      <c r="C286" s="5"/>
    </row>
    <row r="287" ht="16.5" customHeight="1">
      <c r="A287" s="5"/>
      <c r="B287" s="5"/>
      <c r="C287" s="5"/>
    </row>
    <row r="288" ht="16.5" customHeight="1">
      <c r="A288" s="5"/>
      <c r="B288" s="5"/>
      <c r="C288" s="5"/>
    </row>
    <row r="289" ht="16.5" customHeight="1">
      <c r="A289" s="5"/>
      <c r="B289" s="5"/>
      <c r="C289" s="5"/>
    </row>
    <row r="290" ht="16.5" customHeight="1">
      <c r="A290" s="5"/>
      <c r="B290" s="5"/>
      <c r="C290" s="5"/>
    </row>
    <row r="291" ht="16.5" customHeight="1">
      <c r="A291" s="5"/>
      <c r="B291" s="5"/>
      <c r="C291" s="5"/>
    </row>
    <row r="292" ht="16.5" customHeight="1">
      <c r="A292" s="5"/>
      <c r="B292" s="5"/>
      <c r="C292" s="5"/>
    </row>
    <row r="293" ht="16.5" customHeight="1">
      <c r="A293" s="5"/>
      <c r="B293" s="5"/>
      <c r="C293" s="5"/>
    </row>
    <row r="294" ht="16.5" customHeight="1">
      <c r="A294" s="5"/>
      <c r="B294" s="5"/>
      <c r="C294" s="5"/>
    </row>
    <row r="295" ht="16.5" customHeight="1">
      <c r="A295" s="5"/>
      <c r="B295" s="5"/>
      <c r="C295" s="5"/>
    </row>
    <row r="296" ht="16.5" customHeight="1">
      <c r="A296" s="5"/>
      <c r="B296" s="5"/>
      <c r="C296" s="5"/>
    </row>
    <row r="297" ht="16.5" customHeight="1">
      <c r="A297" s="5"/>
      <c r="B297" s="5"/>
      <c r="C297" s="5"/>
    </row>
    <row r="298" ht="16.5" customHeight="1">
      <c r="A298" s="5"/>
      <c r="B298" s="5"/>
      <c r="C298" s="5"/>
    </row>
    <row r="299" ht="16.5" customHeight="1">
      <c r="A299" s="5"/>
      <c r="B299" s="5"/>
      <c r="C299" s="5"/>
    </row>
    <row r="300" ht="16.5" customHeight="1">
      <c r="A300" s="5"/>
      <c r="B300" s="5"/>
      <c r="C300" s="5"/>
    </row>
    <row r="301" ht="16.5" customHeight="1">
      <c r="A301" s="5"/>
      <c r="B301" s="5"/>
      <c r="C301" s="5"/>
    </row>
    <row r="302" ht="16.5" customHeight="1">
      <c r="A302" s="5"/>
      <c r="B302" s="5"/>
      <c r="C302" s="5"/>
    </row>
    <row r="303" ht="16.5" customHeight="1">
      <c r="A303" s="5"/>
      <c r="B303" s="5"/>
      <c r="C303" s="5"/>
    </row>
    <row r="304" ht="16.5" customHeight="1">
      <c r="A304" s="5"/>
      <c r="B304" s="5"/>
      <c r="C304" s="5"/>
    </row>
    <row r="305" ht="16.5" customHeight="1">
      <c r="A305" s="5"/>
      <c r="B305" s="5"/>
      <c r="C305" s="5"/>
    </row>
    <row r="306" ht="16.5" customHeight="1">
      <c r="A306" s="5"/>
      <c r="B306" s="5"/>
      <c r="C306" s="5"/>
    </row>
    <row r="307" ht="16.5" customHeight="1">
      <c r="A307" s="5"/>
      <c r="B307" s="5"/>
      <c r="C307" s="5"/>
    </row>
    <row r="308" ht="16.5" customHeight="1">
      <c r="A308" s="5"/>
      <c r="B308" s="5"/>
      <c r="C308" s="5"/>
    </row>
    <row r="309" ht="16.5" customHeight="1">
      <c r="A309" s="5"/>
      <c r="B309" s="5"/>
      <c r="C309" s="5"/>
    </row>
    <row r="310" ht="16.5" customHeight="1">
      <c r="A310" s="5"/>
      <c r="B310" s="5"/>
      <c r="C310" s="5"/>
    </row>
    <row r="311" ht="16.5" customHeight="1">
      <c r="A311" s="5"/>
      <c r="B311" s="5"/>
      <c r="C311" s="5"/>
    </row>
    <row r="312" ht="16.5" customHeight="1">
      <c r="A312" s="5"/>
      <c r="B312" s="5"/>
      <c r="C312" s="5"/>
    </row>
    <row r="313" ht="16.5" customHeight="1">
      <c r="A313" s="5"/>
      <c r="B313" s="5"/>
      <c r="C313" s="5"/>
    </row>
    <row r="314" ht="16.5" customHeight="1">
      <c r="A314" s="5"/>
      <c r="B314" s="5"/>
      <c r="C314" s="5"/>
    </row>
    <row r="315" ht="16.5" customHeight="1">
      <c r="A315" s="5"/>
      <c r="B315" s="5"/>
      <c r="C315" s="5"/>
    </row>
    <row r="316" ht="16.5" customHeight="1">
      <c r="A316" s="5"/>
      <c r="B316" s="5"/>
      <c r="C316" s="5"/>
    </row>
    <row r="317" ht="16.5" customHeight="1">
      <c r="A317" s="5"/>
      <c r="B317" s="5"/>
      <c r="C317" s="5"/>
    </row>
    <row r="318" ht="16.5" customHeight="1">
      <c r="A318" s="5"/>
      <c r="B318" s="5"/>
      <c r="C318" s="5"/>
    </row>
    <row r="319" ht="16.5" customHeight="1">
      <c r="A319" s="5"/>
      <c r="B319" s="5"/>
      <c r="C319" s="5"/>
    </row>
    <row r="320" ht="16.5" customHeight="1">
      <c r="A320" s="5"/>
      <c r="B320" s="5"/>
      <c r="C320" s="5"/>
    </row>
    <row r="321" ht="16.5" customHeight="1">
      <c r="A321" s="5"/>
      <c r="B321" s="5"/>
      <c r="C321" s="5"/>
    </row>
    <row r="322" ht="16.5" customHeight="1">
      <c r="A322" s="5"/>
      <c r="B322" s="5"/>
      <c r="C322" s="5"/>
    </row>
    <row r="323" ht="16.5" customHeight="1">
      <c r="A323" s="5"/>
      <c r="B323" s="5"/>
      <c r="C323" s="5"/>
    </row>
    <row r="324" ht="16.5" customHeight="1">
      <c r="A324" s="5"/>
      <c r="B324" s="5"/>
      <c r="C324" s="5"/>
    </row>
    <row r="325" ht="16.5" customHeight="1">
      <c r="A325" s="5"/>
      <c r="B325" s="5"/>
      <c r="C325" s="5"/>
    </row>
    <row r="326" ht="16.5" customHeight="1">
      <c r="A326" s="5"/>
      <c r="B326" s="5"/>
      <c r="C326" s="5"/>
    </row>
    <row r="327" ht="16.5" customHeight="1">
      <c r="A327" s="5"/>
      <c r="B327" s="5"/>
      <c r="C327" s="5"/>
    </row>
    <row r="328" ht="16.5" customHeight="1">
      <c r="A328" s="5"/>
      <c r="B328" s="5"/>
      <c r="C328" s="5"/>
    </row>
    <row r="329" ht="16.5" customHeight="1">
      <c r="A329" s="5"/>
      <c r="B329" s="5"/>
      <c r="C329" s="5"/>
    </row>
    <row r="330" ht="16.5" customHeight="1">
      <c r="A330" s="5"/>
      <c r="B330" s="5"/>
      <c r="C330" s="5"/>
    </row>
    <row r="331" ht="16.5" customHeight="1">
      <c r="A331" s="5"/>
      <c r="B331" s="5"/>
      <c r="C331" s="5"/>
    </row>
    <row r="332" ht="16.5" customHeight="1">
      <c r="A332" s="5"/>
      <c r="B332" s="5"/>
      <c r="C332" s="5"/>
    </row>
    <row r="333" ht="16.5" customHeight="1">
      <c r="A333" s="5"/>
      <c r="B333" s="5"/>
      <c r="C333" s="5"/>
    </row>
    <row r="334" ht="16.5" customHeight="1">
      <c r="A334" s="5"/>
      <c r="B334" s="5"/>
      <c r="C334" s="5"/>
    </row>
    <row r="335" ht="16.5" customHeight="1">
      <c r="A335" s="5"/>
      <c r="B335" s="5"/>
      <c r="C335" s="5"/>
    </row>
    <row r="336" ht="16.5" customHeight="1">
      <c r="A336" s="5"/>
      <c r="B336" s="5"/>
      <c r="C336" s="5"/>
    </row>
    <row r="337" ht="16.5" customHeight="1">
      <c r="A337" s="5"/>
      <c r="B337" s="5"/>
      <c r="C337" s="5"/>
    </row>
    <row r="338" ht="16.5" customHeight="1">
      <c r="A338" s="5"/>
      <c r="B338" s="5"/>
      <c r="C338" s="5"/>
    </row>
    <row r="339" ht="16.5" customHeight="1">
      <c r="A339" s="5"/>
      <c r="B339" s="5"/>
      <c r="C339" s="5"/>
    </row>
    <row r="340" ht="16.5" customHeight="1">
      <c r="A340" s="5"/>
      <c r="B340" s="5"/>
      <c r="C340" s="5"/>
    </row>
    <row r="341" ht="16.5" customHeight="1">
      <c r="A341" s="5"/>
      <c r="B341" s="5"/>
      <c r="C341" s="5"/>
    </row>
    <row r="342" ht="16.5" customHeight="1">
      <c r="A342" s="5"/>
      <c r="B342" s="5"/>
      <c r="C342" s="5"/>
    </row>
    <row r="343" ht="16.5" customHeight="1">
      <c r="A343" s="5"/>
      <c r="B343" s="5"/>
      <c r="C343" s="5"/>
    </row>
    <row r="344" ht="16.5" customHeight="1">
      <c r="A344" s="5"/>
      <c r="B344" s="5"/>
      <c r="C344" s="5"/>
    </row>
    <row r="345" ht="16.5" customHeight="1">
      <c r="A345" s="5"/>
      <c r="B345" s="5"/>
      <c r="C345" s="5"/>
    </row>
    <row r="346" ht="16.5" customHeight="1">
      <c r="A346" s="5"/>
      <c r="B346" s="5"/>
      <c r="C346" s="5"/>
    </row>
    <row r="347" ht="16.5" customHeight="1">
      <c r="A347" s="5"/>
      <c r="B347" s="5"/>
      <c r="C347" s="5"/>
    </row>
    <row r="348" ht="16.5" customHeight="1">
      <c r="A348" s="5"/>
      <c r="B348" s="5"/>
      <c r="C348" s="5"/>
    </row>
    <row r="349" ht="16.5" customHeight="1">
      <c r="A349" s="5"/>
      <c r="B349" s="5"/>
      <c r="C349" s="5"/>
    </row>
    <row r="350" ht="16.5" customHeight="1">
      <c r="A350" s="5"/>
      <c r="B350" s="5"/>
      <c r="C350" s="5"/>
    </row>
    <row r="351" ht="16.5" customHeight="1">
      <c r="A351" s="5"/>
      <c r="B351" s="5"/>
      <c r="C351" s="5"/>
    </row>
    <row r="352" ht="16.5" customHeight="1">
      <c r="A352" s="5"/>
      <c r="B352" s="5"/>
      <c r="C352" s="5"/>
    </row>
    <row r="353" ht="16.5" customHeight="1">
      <c r="A353" s="5"/>
      <c r="B353" s="5"/>
      <c r="C353" s="5"/>
    </row>
    <row r="354" ht="16.5" customHeight="1">
      <c r="A354" s="5"/>
      <c r="B354" s="5"/>
      <c r="C354" s="5"/>
    </row>
    <row r="355" ht="16.5" customHeight="1">
      <c r="A355" s="5"/>
      <c r="B355" s="5"/>
      <c r="C355" s="5"/>
    </row>
    <row r="356" ht="16.5" customHeight="1">
      <c r="A356" s="5"/>
      <c r="B356" s="5"/>
      <c r="C356" s="5"/>
    </row>
    <row r="357" ht="16.5" customHeight="1">
      <c r="A357" s="5"/>
      <c r="B357" s="5"/>
      <c r="C357" s="5"/>
    </row>
    <row r="358" ht="16.5" customHeight="1">
      <c r="A358" s="5"/>
      <c r="B358" s="5"/>
      <c r="C358" s="5"/>
    </row>
    <row r="359" ht="16.5" customHeight="1">
      <c r="A359" s="5"/>
      <c r="B359" s="5"/>
      <c r="C359" s="5"/>
    </row>
    <row r="360" ht="16.5" customHeight="1">
      <c r="A360" s="5"/>
      <c r="B360" s="5"/>
      <c r="C360" s="5"/>
    </row>
    <row r="361" ht="16.5" customHeight="1">
      <c r="A361" s="5"/>
      <c r="B361" s="5"/>
      <c r="C361" s="5"/>
    </row>
    <row r="362" ht="16.5" customHeight="1">
      <c r="A362" s="5"/>
      <c r="B362" s="5"/>
      <c r="C362" s="5"/>
    </row>
    <row r="363" ht="16.5" customHeight="1">
      <c r="A363" s="5"/>
      <c r="B363" s="5"/>
      <c r="C363" s="5"/>
    </row>
    <row r="364" ht="16.5" customHeight="1">
      <c r="A364" s="5"/>
      <c r="B364" s="5"/>
      <c r="C364" s="5"/>
    </row>
    <row r="365" ht="16.5" customHeight="1">
      <c r="A365" s="5"/>
      <c r="B365" s="5"/>
      <c r="C365" s="5"/>
    </row>
    <row r="366" ht="16.5" customHeight="1">
      <c r="A366" s="5"/>
      <c r="B366" s="5"/>
      <c r="C366" s="5"/>
    </row>
    <row r="367" ht="16.5" customHeight="1">
      <c r="A367" s="5"/>
      <c r="B367" s="5"/>
      <c r="C367" s="5"/>
    </row>
    <row r="368" ht="16.5" customHeight="1">
      <c r="A368" s="5"/>
      <c r="B368" s="5"/>
      <c r="C368" s="5"/>
    </row>
    <row r="369" ht="16.5" customHeight="1">
      <c r="A369" s="5"/>
      <c r="B369" s="5"/>
      <c r="C369" s="5"/>
    </row>
    <row r="370" ht="16.5" customHeight="1">
      <c r="A370" s="5"/>
      <c r="B370" s="5"/>
      <c r="C370" s="5"/>
    </row>
    <row r="371" ht="16.5" customHeight="1">
      <c r="A371" s="5"/>
      <c r="B371" s="5"/>
      <c r="C371" s="5"/>
    </row>
    <row r="372" ht="16.5" customHeight="1">
      <c r="A372" s="5"/>
      <c r="B372" s="5"/>
      <c r="C372" s="5"/>
    </row>
    <row r="373" ht="16.5" customHeight="1">
      <c r="A373" s="5"/>
      <c r="B373" s="5"/>
      <c r="C373" s="5"/>
    </row>
    <row r="374" ht="16.5" customHeight="1">
      <c r="A374" s="5"/>
      <c r="B374" s="5"/>
      <c r="C374" s="5"/>
    </row>
    <row r="375" ht="16.5" customHeight="1">
      <c r="A375" s="5"/>
      <c r="B375" s="5"/>
      <c r="C375" s="5"/>
    </row>
    <row r="376" ht="16.5" customHeight="1">
      <c r="A376" s="5"/>
      <c r="B376" s="5"/>
      <c r="C376" s="5"/>
    </row>
    <row r="377" ht="16.5" customHeight="1">
      <c r="A377" s="5"/>
      <c r="B377" s="5"/>
      <c r="C377" s="5"/>
    </row>
    <row r="378" ht="16.5" customHeight="1">
      <c r="A378" s="5"/>
      <c r="B378" s="5"/>
      <c r="C378" s="5"/>
    </row>
    <row r="379" ht="16.5" customHeight="1">
      <c r="A379" s="5"/>
      <c r="B379" s="5"/>
      <c r="C379" s="5"/>
    </row>
    <row r="380" ht="16.5" customHeight="1">
      <c r="A380" s="5"/>
      <c r="B380" s="5"/>
      <c r="C380" s="5"/>
    </row>
    <row r="381" ht="16.5" customHeight="1">
      <c r="A381" s="5"/>
      <c r="B381" s="5"/>
      <c r="C381" s="5"/>
    </row>
    <row r="382" ht="16.5" customHeight="1">
      <c r="A382" s="5"/>
      <c r="B382" s="5"/>
      <c r="C382" s="5"/>
    </row>
    <row r="383" ht="16.5" customHeight="1">
      <c r="A383" s="5"/>
      <c r="B383" s="5"/>
      <c r="C383" s="5"/>
    </row>
    <row r="384" ht="16.5" customHeight="1">
      <c r="A384" s="5"/>
      <c r="B384" s="5"/>
      <c r="C384" s="5"/>
    </row>
    <row r="385" ht="16.5" customHeight="1">
      <c r="A385" s="5"/>
      <c r="B385" s="5"/>
      <c r="C385" s="5"/>
    </row>
    <row r="386" ht="16.5" customHeight="1">
      <c r="A386" s="5"/>
      <c r="B386" s="5"/>
      <c r="C386" s="5"/>
    </row>
    <row r="387" ht="16.5" customHeight="1">
      <c r="A387" s="5"/>
      <c r="B387" s="5"/>
      <c r="C387" s="5"/>
    </row>
    <row r="388" ht="16.5" customHeight="1">
      <c r="A388" s="5"/>
      <c r="B388" s="5"/>
      <c r="C388" s="5"/>
    </row>
    <row r="389" ht="16.5" customHeight="1">
      <c r="A389" s="5"/>
      <c r="B389" s="5"/>
      <c r="C389" s="5"/>
    </row>
    <row r="390" ht="16.5" customHeight="1">
      <c r="A390" s="5"/>
      <c r="B390" s="5"/>
      <c r="C390" s="5"/>
    </row>
    <row r="391" ht="16.5" customHeight="1">
      <c r="A391" s="5"/>
      <c r="B391" s="5"/>
      <c r="C391" s="5"/>
    </row>
    <row r="392" ht="16.5" customHeight="1">
      <c r="A392" s="5"/>
      <c r="B392" s="5"/>
      <c r="C392" s="5"/>
    </row>
    <row r="393" ht="16.5" customHeight="1">
      <c r="A393" s="5"/>
      <c r="B393" s="5"/>
      <c r="C393" s="5"/>
    </row>
    <row r="394" ht="16.5" customHeight="1">
      <c r="A394" s="5"/>
      <c r="B394" s="5"/>
      <c r="C394" s="5"/>
    </row>
    <row r="395" ht="16.5" customHeight="1">
      <c r="A395" s="5"/>
      <c r="B395" s="5"/>
      <c r="C395" s="5"/>
    </row>
    <row r="396" ht="16.5" customHeight="1">
      <c r="A396" s="5"/>
      <c r="B396" s="5"/>
      <c r="C396" s="5"/>
    </row>
    <row r="397" ht="16.5" customHeight="1">
      <c r="A397" s="5"/>
      <c r="B397" s="5"/>
      <c r="C397" s="5"/>
    </row>
    <row r="398" ht="16.5" customHeight="1">
      <c r="A398" s="5"/>
      <c r="B398" s="5"/>
      <c r="C398" s="5"/>
    </row>
    <row r="399" ht="16.5" customHeight="1">
      <c r="A399" s="5"/>
      <c r="B399" s="5"/>
      <c r="C399" s="5"/>
    </row>
    <row r="400" ht="16.5" customHeight="1">
      <c r="A400" s="5"/>
      <c r="B400" s="5"/>
      <c r="C400" s="5"/>
    </row>
    <row r="401" ht="16.5" customHeight="1">
      <c r="A401" s="5"/>
      <c r="B401" s="5"/>
      <c r="C401" s="5"/>
    </row>
    <row r="402" ht="16.5" customHeight="1">
      <c r="A402" s="5"/>
      <c r="B402" s="5"/>
      <c r="C402" s="5"/>
    </row>
    <row r="403" ht="16.5" customHeight="1">
      <c r="A403" s="5"/>
      <c r="B403" s="5"/>
      <c r="C403" s="5"/>
    </row>
    <row r="404" ht="16.5" customHeight="1">
      <c r="A404" s="5"/>
      <c r="B404" s="5"/>
      <c r="C404" s="5"/>
    </row>
    <row r="405" ht="16.5" customHeight="1">
      <c r="A405" s="5"/>
      <c r="B405" s="5"/>
      <c r="C405" s="5"/>
    </row>
    <row r="406" ht="16.5" customHeight="1">
      <c r="A406" s="5"/>
      <c r="B406" s="5"/>
      <c r="C406" s="5"/>
    </row>
    <row r="407" ht="16.5" customHeight="1">
      <c r="A407" s="5"/>
      <c r="B407" s="5"/>
      <c r="C407" s="5"/>
    </row>
    <row r="408" ht="16.5" customHeight="1">
      <c r="A408" s="5"/>
      <c r="B408" s="5"/>
      <c r="C408" s="5"/>
    </row>
    <row r="409" ht="16.5" customHeight="1">
      <c r="A409" s="5"/>
      <c r="B409" s="5"/>
      <c r="C409" s="5"/>
    </row>
    <row r="410" ht="16.5" customHeight="1">
      <c r="A410" s="5"/>
      <c r="B410" s="5"/>
      <c r="C410" s="5"/>
    </row>
    <row r="411" ht="16.5" customHeight="1">
      <c r="A411" s="5"/>
      <c r="B411" s="5"/>
      <c r="C411" s="5"/>
    </row>
    <row r="412" ht="16.5" customHeight="1">
      <c r="A412" s="5"/>
      <c r="B412" s="5"/>
      <c r="C412" s="5"/>
    </row>
    <row r="413" ht="16.5" customHeight="1">
      <c r="A413" s="5"/>
      <c r="B413" s="5"/>
      <c r="C413" s="5"/>
    </row>
    <row r="414" ht="16.5" customHeight="1">
      <c r="A414" s="5"/>
      <c r="B414" s="5"/>
      <c r="C414" s="5"/>
    </row>
    <row r="415" ht="16.5" customHeight="1">
      <c r="A415" s="5"/>
      <c r="B415" s="5"/>
      <c r="C415" s="5"/>
    </row>
    <row r="416" ht="16.5" customHeight="1">
      <c r="A416" s="5"/>
      <c r="B416" s="5"/>
      <c r="C416" s="5"/>
    </row>
    <row r="417" ht="16.5" customHeight="1">
      <c r="A417" s="5"/>
      <c r="B417" s="5"/>
      <c r="C417" s="5"/>
    </row>
    <row r="418" ht="16.5" customHeight="1">
      <c r="A418" s="5"/>
      <c r="B418" s="5"/>
      <c r="C418" s="5"/>
    </row>
    <row r="419" ht="16.5" customHeight="1">
      <c r="A419" s="5"/>
      <c r="B419" s="5"/>
      <c r="C419" s="5"/>
    </row>
    <row r="420" ht="16.5" customHeight="1">
      <c r="A420" s="5"/>
      <c r="B420" s="5"/>
      <c r="C420" s="5"/>
    </row>
    <row r="421" ht="16.5" customHeight="1">
      <c r="A421" s="5"/>
      <c r="B421" s="5"/>
      <c r="C421" s="5"/>
    </row>
    <row r="422" ht="16.5" customHeight="1">
      <c r="A422" s="5"/>
      <c r="B422" s="5"/>
      <c r="C422" s="5"/>
    </row>
    <row r="423" ht="16.5" customHeight="1">
      <c r="A423" s="5"/>
      <c r="B423" s="5"/>
      <c r="C423" s="5"/>
    </row>
    <row r="424" ht="16.5" customHeight="1">
      <c r="A424" s="5"/>
      <c r="B424" s="5"/>
      <c r="C424" s="5"/>
    </row>
    <row r="425" ht="16.5" customHeight="1">
      <c r="A425" s="5"/>
      <c r="B425" s="5"/>
      <c r="C425" s="5"/>
    </row>
    <row r="426" ht="16.5" customHeight="1">
      <c r="A426" s="5"/>
      <c r="B426" s="5"/>
      <c r="C426" s="5"/>
    </row>
    <row r="427" ht="16.5" customHeight="1">
      <c r="A427" s="5"/>
      <c r="B427" s="5"/>
      <c r="C427" s="5"/>
    </row>
    <row r="428" ht="16.5" customHeight="1">
      <c r="A428" s="5"/>
      <c r="B428" s="5"/>
      <c r="C428" s="5"/>
    </row>
    <row r="429" ht="16.5" customHeight="1">
      <c r="A429" s="5"/>
      <c r="B429" s="5"/>
      <c r="C429" s="5"/>
    </row>
    <row r="430" ht="16.5" customHeight="1">
      <c r="A430" s="5"/>
      <c r="B430" s="5"/>
      <c r="C430" s="5"/>
    </row>
    <row r="431" ht="16.5" customHeight="1">
      <c r="A431" s="5"/>
      <c r="B431" s="5"/>
      <c r="C431" s="5"/>
    </row>
    <row r="432" ht="16.5" customHeight="1">
      <c r="A432" s="5"/>
      <c r="B432" s="5"/>
      <c r="C432" s="5"/>
    </row>
    <row r="433" ht="16.5" customHeight="1">
      <c r="A433" s="5"/>
      <c r="B433" s="5"/>
      <c r="C433" s="5"/>
    </row>
    <row r="434" ht="16.5" customHeight="1">
      <c r="A434" s="5"/>
      <c r="B434" s="5"/>
      <c r="C434" s="5"/>
    </row>
    <row r="435" ht="16.5" customHeight="1">
      <c r="A435" s="5"/>
      <c r="B435" s="5"/>
      <c r="C435" s="5"/>
    </row>
    <row r="436" ht="16.5" customHeight="1">
      <c r="A436" s="5"/>
      <c r="B436" s="5"/>
      <c r="C436" s="5"/>
    </row>
    <row r="437" ht="16.5" customHeight="1">
      <c r="A437" s="5"/>
      <c r="B437" s="5"/>
      <c r="C437" s="5"/>
    </row>
    <row r="438" ht="16.5" customHeight="1">
      <c r="A438" s="5"/>
      <c r="B438" s="5"/>
      <c r="C438" s="5"/>
    </row>
    <row r="439" ht="16.5" customHeight="1">
      <c r="A439" s="5"/>
      <c r="B439" s="5"/>
      <c r="C439" s="5"/>
    </row>
    <row r="440" ht="16.5" customHeight="1">
      <c r="A440" s="5"/>
      <c r="B440" s="5"/>
      <c r="C440" s="5"/>
    </row>
    <row r="441" ht="16.5" customHeight="1">
      <c r="A441" s="5"/>
      <c r="B441" s="5"/>
      <c r="C441" s="5"/>
    </row>
    <row r="442" ht="16.5" customHeight="1">
      <c r="A442" s="5"/>
      <c r="B442" s="5"/>
      <c r="C442" s="5"/>
    </row>
    <row r="443" ht="16.5" customHeight="1">
      <c r="A443" s="5"/>
      <c r="B443" s="5"/>
      <c r="C443" s="5"/>
    </row>
    <row r="444" ht="16.5" customHeight="1">
      <c r="A444" s="5"/>
      <c r="B444" s="5"/>
      <c r="C444" s="5"/>
    </row>
    <row r="445" ht="16.5" customHeight="1">
      <c r="A445" s="5"/>
      <c r="B445" s="5"/>
      <c r="C445" s="5"/>
    </row>
    <row r="446" ht="16.5" customHeight="1">
      <c r="A446" s="5"/>
      <c r="B446" s="5"/>
      <c r="C446" s="5"/>
    </row>
    <row r="447" ht="16.5" customHeight="1">
      <c r="A447" s="5"/>
      <c r="B447" s="5"/>
      <c r="C447" s="5"/>
    </row>
    <row r="448" ht="16.5" customHeight="1">
      <c r="A448" s="5"/>
      <c r="B448" s="5"/>
      <c r="C448" s="5"/>
    </row>
    <row r="449" ht="16.5" customHeight="1">
      <c r="A449" s="5"/>
      <c r="B449" s="5"/>
      <c r="C449" s="5"/>
    </row>
    <row r="450" ht="16.5" customHeight="1">
      <c r="A450" s="5"/>
      <c r="B450" s="5"/>
      <c r="C450" s="5"/>
    </row>
    <row r="451" ht="16.5" customHeight="1">
      <c r="A451" s="5"/>
      <c r="B451" s="5"/>
      <c r="C451" s="5"/>
    </row>
    <row r="452" ht="16.5" customHeight="1">
      <c r="A452" s="5"/>
      <c r="B452" s="5"/>
      <c r="C452" s="5"/>
    </row>
    <row r="453" ht="16.5" customHeight="1">
      <c r="A453" s="5"/>
      <c r="B453" s="5"/>
      <c r="C453" s="5"/>
    </row>
    <row r="454" ht="16.5" customHeight="1">
      <c r="A454" s="5"/>
      <c r="B454" s="5"/>
      <c r="C454" s="5"/>
    </row>
    <row r="455" ht="16.5" customHeight="1">
      <c r="A455" s="5"/>
      <c r="B455" s="5"/>
      <c r="C455" s="5"/>
    </row>
    <row r="456" ht="16.5" customHeight="1">
      <c r="A456" s="5"/>
      <c r="B456" s="5"/>
      <c r="C456" s="5"/>
    </row>
    <row r="457" ht="16.5" customHeight="1">
      <c r="A457" s="5"/>
      <c r="B457" s="5"/>
      <c r="C457" s="5"/>
    </row>
    <row r="458" ht="16.5" customHeight="1">
      <c r="A458" s="5"/>
      <c r="B458" s="5"/>
      <c r="C458" s="5"/>
    </row>
    <row r="459" ht="16.5" customHeight="1">
      <c r="A459" s="5"/>
      <c r="B459" s="5"/>
      <c r="C459" s="5"/>
    </row>
    <row r="460" ht="16.5" customHeight="1">
      <c r="A460" s="5"/>
      <c r="B460" s="5"/>
      <c r="C460" s="5"/>
    </row>
    <row r="461" ht="16.5" customHeight="1">
      <c r="A461" s="5"/>
      <c r="B461" s="5"/>
      <c r="C461" s="5"/>
    </row>
    <row r="462" ht="16.5" customHeight="1">
      <c r="A462" s="5"/>
      <c r="B462" s="5"/>
      <c r="C462" s="5"/>
    </row>
    <row r="463" ht="16.5" customHeight="1">
      <c r="A463" s="5"/>
      <c r="B463" s="5"/>
      <c r="C463" s="5"/>
    </row>
    <row r="464" ht="16.5" customHeight="1">
      <c r="A464" s="5"/>
      <c r="B464" s="5"/>
      <c r="C464" s="5"/>
    </row>
    <row r="465" ht="16.5" customHeight="1">
      <c r="A465" s="5"/>
      <c r="B465" s="5"/>
      <c r="C465" s="5"/>
    </row>
    <row r="466" ht="16.5" customHeight="1">
      <c r="A466" s="5"/>
      <c r="B466" s="5"/>
      <c r="C466" s="5"/>
    </row>
    <row r="467" ht="16.5" customHeight="1">
      <c r="A467" s="5"/>
      <c r="B467" s="5"/>
      <c r="C467" s="5"/>
    </row>
    <row r="468" ht="16.5" customHeight="1">
      <c r="A468" s="5"/>
      <c r="B468" s="5"/>
      <c r="C468" s="5"/>
    </row>
    <row r="469" ht="16.5" customHeight="1">
      <c r="A469" s="5"/>
      <c r="B469" s="5"/>
      <c r="C469" s="5"/>
    </row>
    <row r="470" ht="16.5" customHeight="1">
      <c r="A470" s="5"/>
      <c r="B470" s="5"/>
      <c r="C470" s="5"/>
    </row>
    <row r="471" ht="16.5" customHeight="1">
      <c r="A471" s="5"/>
      <c r="B471" s="5"/>
      <c r="C471" s="5"/>
    </row>
    <row r="472" ht="16.5" customHeight="1">
      <c r="A472" s="5"/>
      <c r="B472" s="5"/>
      <c r="C472" s="5"/>
    </row>
    <row r="473" ht="16.5" customHeight="1">
      <c r="A473" s="5"/>
      <c r="B473" s="5"/>
      <c r="C473" s="5"/>
    </row>
    <row r="474" ht="16.5" customHeight="1">
      <c r="A474" s="5"/>
      <c r="B474" s="5"/>
      <c r="C474" s="5"/>
    </row>
    <row r="475" ht="16.5" customHeight="1">
      <c r="A475" s="5"/>
      <c r="B475" s="5"/>
      <c r="C475" s="5"/>
    </row>
    <row r="476" ht="16.5" customHeight="1">
      <c r="A476" s="5"/>
      <c r="B476" s="5"/>
      <c r="C476" s="5"/>
    </row>
    <row r="477" ht="16.5" customHeight="1">
      <c r="A477" s="5"/>
      <c r="B477" s="5"/>
      <c r="C477" s="5"/>
    </row>
    <row r="478" ht="16.5" customHeight="1">
      <c r="A478" s="5"/>
      <c r="B478" s="5"/>
      <c r="C478" s="5"/>
    </row>
    <row r="479" ht="16.5" customHeight="1">
      <c r="A479" s="5"/>
      <c r="B479" s="5"/>
      <c r="C479" s="5"/>
    </row>
    <row r="480" ht="16.5" customHeight="1">
      <c r="A480" s="5"/>
      <c r="B480" s="5"/>
      <c r="C480" s="5"/>
    </row>
    <row r="481" ht="16.5" customHeight="1">
      <c r="A481" s="5"/>
      <c r="B481" s="5"/>
      <c r="C481" s="5"/>
    </row>
    <row r="482" ht="16.5" customHeight="1">
      <c r="A482" s="5"/>
      <c r="B482" s="5"/>
      <c r="C482" s="5"/>
    </row>
    <row r="483" ht="16.5" customHeight="1">
      <c r="A483" s="5"/>
      <c r="B483" s="5"/>
      <c r="C483" s="5"/>
    </row>
    <row r="484" ht="16.5" customHeight="1">
      <c r="A484" s="5"/>
      <c r="B484" s="5"/>
      <c r="C484" s="5"/>
    </row>
    <row r="485" ht="16.5" customHeight="1">
      <c r="A485" s="5"/>
      <c r="B485" s="5"/>
      <c r="C485" s="5"/>
    </row>
    <row r="486" ht="16.5" customHeight="1">
      <c r="A486" s="5"/>
      <c r="B486" s="5"/>
      <c r="C486" s="5"/>
    </row>
    <row r="487" ht="16.5" customHeight="1">
      <c r="A487" s="5"/>
      <c r="B487" s="5"/>
      <c r="C487" s="5"/>
    </row>
    <row r="488" ht="16.5" customHeight="1">
      <c r="A488" s="5"/>
      <c r="B488" s="5"/>
      <c r="C488" s="5"/>
    </row>
    <row r="489" ht="16.5" customHeight="1">
      <c r="A489" s="5"/>
      <c r="B489" s="5"/>
      <c r="C489" s="5"/>
    </row>
    <row r="490" ht="16.5" customHeight="1">
      <c r="A490" s="5"/>
      <c r="B490" s="5"/>
      <c r="C490" s="5"/>
    </row>
    <row r="491" ht="16.5" customHeight="1">
      <c r="A491" s="5"/>
      <c r="B491" s="5"/>
      <c r="C491" s="5"/>
    </row>
    <row r="492" ht="16.5" customHeight="1">
      <c r="A492" s="5"/>
      <c r="B492" s="5"/>
      <c r="C492" s="5"/>
    </row>
    <row r="493" ht="16.5" customHeight="1">
      <c r="A493" s="5"/>
      <c r="B493" s="5"/>
      <c r="C493" s="5"/>
    </row>
    <row r="494" ht="16.5" customHeight="1">
      <c r="A494" s="5"/>
      <c r="B494" s="5"/>
      <c r="C494" s="5"/>
    </row>
    <row r="495" ht="16.5" customHeight="1">
      <c r="A495" s="5"/>
      <c r="B495" s="5"/>
      <c r="C495" s="5"/>
    </row>
    <row r="496" ht="16.5" customHeight="1">
      <c r="A496" s="5"/>
      <c r="B496" s="5"/>
      <c r="C496" s="5"/>
    </row>
    <row r="497" ht="16.5" customHeight="1">
      <c r="A497" s="5"/>
      <c r="B497" s="5"/>
      <c r="C497" s="5"/>
    </row>
    <row r="498" ht="16.5" customHeight="1">
      <c r="A498" s="5"/>
      <c r="B498" s="5"/>
      <c r="C498" s="5"/>
    </row>
    <row r="499" ht="16.5" customHeight="1">
      <c r="A499" s="5"/>
      <c r="B499" s="5"/>
      <c r="C499" s="5"/>
    </row>
    <row r="500" ht="16.5" customHeight="1">
      <c r="A500" s="5"/>
      <c r="B500" s="5"/>
      <c r="C500" s="5"/>
    </row>
    <row r="501" ht="16.5" customHeight="1">
      <c r="A501" s="5"/>
      <c r="B501" s="5"/>
      <c r="C501" s="5"/>
    </row>
    <row r="502" ht="16.5" customHeight="1">
      <c r="A502" s="5"/>
      <c r="B502" s="5"/>
      <c r="C502" s="5"/>
    </row>
    <row r="503" ht="16.5" customHeight="1">
      <c r="A503" s="5"/>
      <c r="B503" s="5"/>
      <c r="C503" s="5"/>
    </row>
    <row r="504" ht="16.5" customHeight="1">
      <c r="A504" s="5"/>
      <c r="B504" s="5"/>
      <c r="C504" s="5"/>
    </row>
    <row r="505" ht="16.5" customHeight="1">
      <c r="A505" s="5"/>
      <c r="B505" s="5"/>
      <c r="C505" s="5"/>
    </row>
    <row r="506" ht="16.5" customHeight="1">
      <c r="A506" s="5"/>
      <c r="B506" s="5"/>
      <c r="C506" s="5"/>
    </row>
    <row r="507" ht="16.5" customHeight="1">
      <c r="A507" s="5"/>
      <c r="B507" s="5"/>
      <c r="C507" s="5"/>
    </row>
    <row r="508" ht="16.5" customHeight="1">
      <c r="A508" s="5"/>
      <c r="B508" s="5"/>
      <c r="C508" s="5"/>
    </row>
    <row r="509" ht="16.5" customHeight="1">
      <c r="A509" s="5"/>
      <c r="B509" s="5"/>
      <c r="C509" s="5"/>
    </row>
    <row r="510" ht="16.5" customHeight="1">
      <c r="A510" s="5"/>
      <c r="B510" s="5"/>
      <c r="C510" s="5"/>
    </row>
    <row r="511" ht="16.5" customHeight="1">
      <c r="A511" s="5"/>
      <c r="B511" s="5"/>
      <c r="C511" s="5"/>
    </row>
    <row r="512" ht="16.5" customHeight="1">
      <c r="A512" s="5"/>
      <c r="B512" s="5"/>
      <c r="C512" s="5"/>
    </row>
    <row r="513" ht="16.5" customHeight="1">
      <c r="A513" s="5"/>
      <c r="B513" s="5"/>
      <c r="C513" s="5"/>
    </row>
    <row r="514" ht="16.5" customHeight="1">
      <c r="A514" s="5"/>
      <c r="B514" s="5"/>
      <c r="C514" s="5"/>
    </row>
    <row r="515" ht="16.5" customHeight="1">
      <c r="A515" s="5"/>
      <c r="B515" s="5"/>
      <c r="C515" s="5"/>
    </row>
    <row r="516" ht="16.5" customHeight="1">
      <c r="A516" s="5"/>
      <c r="B516" s="5"/>
      <c r="C516" s="5"/>
    </row>
    <row r="517" ht="16.5" customHeight="1">
      <c r="A517" s="5"/>
      <c r="B517" s="5"/>
      <c r="C517" s="5"/>
    </row>
    <row r="518" ht="16.5" customHeight="1">
      <c r="A518" s="5"/>
      <c r="B518" s="5"/>
      <c r="C518" s="5"/>
    </row>
    <row r="519" ht="16.5" customHeight="1">
      <c r="A519" s="5"/>
      <c r="B519" s="5"/>
      <c r="C519" s="5"/>
    </row>
    <row r="520" ht="16.5" customHeight="1">
      <c r="A520" s="5"/>
      <c r="B520" s="5"/>
      <c r="C520" s="5"/>
    </row>
    <row r="521" ht="16.5" customHeight="1">
      <c r="A521" s="5"/>
      <c r="B521" s="5"/>
      <c r="C521" s="5"/>
    </row>
    <row r="522" ht="16.5" customHeight="1">
      <c r="A522" s="5"/>
      <c r="B522" s="5"/>
      <c r="C522" s="5"/>
    </row>
    <row r="523" ht="16.5" customHeight="1">
      <c r="A523" s="5"/>
      <c r="B523" s="5"/>
      <c r="C523" s="5"/>
    </row>
    <row r="524" ht="16.5" customHeight="1">
      <c r="A524" s="5"/>
      <c r="B524" s="5"/>
      <c r="C524" s="5"/>
    </row>
    <row r="525" ht="16.5" customHeight="1">
      <c r="A525" s="5"/>
      <c r="B525" s="5"/>
      <c r="C525" s="5"/>
    </row>
    <row r="526" ht="16.5" customHeight="1">
      <c r="A526" s="5"/>
      <c r="B526" s="5"/>
      <c r="C526" s="5"/>
    </row>
    <row r="527" ht="16.5" customHeight="1">
      <c r="A527" s="5"/>
      <c r="B527" s="5"/>
      <c r="C527" s="5"/>
    </row>
    <row r="528" ht="16.5" customHeight="1">
      <c r="A528" s="5"/>
      <c r="B528" s="5"/>
      <c r="C528" s="5"/>
    </row>
    <row r="529" ht="16.5" customHeight="1">
      <c r="A529" s="5"/>
      <c r="B529" s="5"/>
      <c r="C529" s="5"/>
    </row>
    <row r="530" ht="16.5" customHeight="1">
      <c r="A530" s="5"/>
      <c r="B530" s="5"/>
      <c r="C530" s="5"/>
    </row>
    <row r="531" ht="16.5" customHeight="1">
      <c r="A531" s="5"/>
      <c r="B531" s="5"/>
      <c r="C531" s="5"/>
    </row>
    <row r="532" ht="16.5" customHeight="1">
      <c r="A532" s="5"/>
      <c r="B532" s="5"/>
      <c r="C532" s="5"/>
    </row>
    <row r="533" ht="16.5" customHeight="1">
      <c r="A533" s="5"/>
      <c r="B533" s="5"/>
      <c r="C533" s="5"/>
    </row>
    <row r="534" ht="16.5" customHeight="1">
      <c r="A534" s="5"/>
      <c r="B534" s="5"/>
      <c r="C534" s="5"/>
    </row>
    <row r="535" ht="16.5" customHeight="1">
      <c r="A535" s="5"/>
      <c r="B535" s="5"/>
      <c r="C535" s="5"/>
    </row>
    <row r="536" ht="16.5" customHeight="1">
      <c r="A536" s="5"/>
      <c r="B536" s="5"/>
      <c r="C536" s="5"/>
    </row>
    <row r="537" ht="16.5" customHeight="1">
      <c r="A537" s="5"/>
      <c r="B537" s="5"/>
      <c r="C537" s="5"/>
    </row>
    <row r="538" ht="16.5" customHeight="1">
      <c r="A538" s="5"/>
      <c r="B538" s="5"/>
      <c r="C538" s="5"/>
    </row>
    <row r="539" ht="16.5" customHeight="1">
      <c r="A539" s="5"/>
      <c r="B539" s="5"/>
      <c r="C539" s="5"/>
    </row>
    <row r="540" ht="16.5" customHeight="1">
      <c r="A540" s="5"/>
      <c r="B540" s="5"/>
      <c r="C540" s="5"/>
    </row>
    <row r="541" ht="16.5" customHeight="1">
      <c r="A541" s="5"/>
      <c r="B541" s="5"/>
      <c r="C541" s="5"/>
    </row>
    <row r="542" ht="16.5" customHeight="1">
      <c r="A542" s="5"/>
      <c r="B542" s="5"/>
      <c r="C542" s="5"/>
    </row>
    <row r="543" ht="16.5" customHeight="1">
      <c r="A543" s="5"/>
      <c r="B543" s="5"/>
      <c r="C543" s="5"/>
    </row>
    <row r="544" ht="16.5" customHeight="1">
      <c r="A544" s="5"/>
      <c r="B544" s="5"/>
      <c r="C544" s="5"/>
    </row>
    <row r="545" ht="16.5" customHeight="1">
      <c r="A545" s="5"/>
      <c r="B545" s="5"/>
      <c r="C545" s="5"/>
    </row>
    <row r="546" ht="16.5" customHeight="1">
      <c r="A546" s="5"/>
      <c r="B546" s="5"/>
      <c r="C546" s="5"/>
    </row>
    <row r="547" ht="16.5" customHeight="1">
      <c r="A547" s="5"/>
      <c r="B547" s="5"/>
      <c r="C547" s="5"/>
    </row>
    <row r="548" ht="16.5" customHeight="1">
      <c r="A548" s="5"/>
      <c r="B548" s="5"/>
      <c r="C548" s="5"/>
    </row>
    <row r="549" ht="16.5" customHeight="1">
      <c r="A549" s="5"/>
      <c r="B549" s="5"/>
      <c r="C549" s="5"/>
    </row>
    <row r="550" ht="16.5" customHeight="1">
      <c r="A550" s="5"/>
      <c r="B550" s="5"/>
      <c r="C550" s="5"/>
    </row>
    <row r="551" ht="16.5" customHeight="1">
      <c r="A551" s="5"/>
      <c r="B551" s="5"/>
      <c r="C551" s="5"/>
    </row>
    <row r="552" ht="16.5" customHeight="1">
      <c r="A552" s="5"/>
      <c r="B552" s="5"/>
      <c r="C552" s="5"/>
    </row>
    <row r="553" ht="16.5" customHeight="1">
      <c r="A553" s="5"/>
      <c r="B553" s="5"/>
      <c r="C553" s="5"/>
    </row>
    <row r="554" ht="16.5" customHeight="1">
      <c r="A554" s="5"/>
      <c r="B554" s="5"/>
      <c r="C554" s="5"/>
    </row>
    <row r="555" ht="16.5" customHeight="1">
      <c r="A555" s="5"/>
      <c r="B555" s="5"/>
      <c r="C555" s="5"/>
    </row>
    <row r="556" ht="16.5" customHeight="1">
      <c r="A556" s="5"/>
      <c r="B556" s="5"/>
      <c r="C556" s="5"/>
    </row>
    <row r="557" ht="16.5" customHeight="1">
      <c r="A557" s="5"/>
      <c r="B557" s="5"/>
      <c r="C557" s="5"/>
    </row>
    <row r="558" ht="16.5" customHeight="1">
      <c r="A558" s="5"/>
      <c r="B558" s="5"/>
      <c r="C558" s="5"/>
    </row>
    <row r="559" ht="16.5" customHeight="1">
      <c r="A559" s="5"/>
      <c r="B559" s="5"/>
      <c r="C559" s="5"/>
    </row>
    <row r="560" ht="16.5" customHeight="1">
      <c r="A560" s="5"/>
      <c r="B560" s="5"/>
      <c r="C560" s="5"/>
    </row>
    <row r="561" ht="16.5" customHeight="1">
      <c r="A561" s="5"/>
      <c r="B561" s="5"/>
      <c r="C561" s="5"/>
    </row>
    <row r="562" ht="16.5" customHeight="1">
      <c r="A562" s="5"/>
      <c r="B562" s="5"/>
      <c r="C562" s="5"/>
    </row>
    <row r="563" ht="16.5" customHeight="1">
      <c r="A563" s="5"/>
      <c r="B563" s="5"/>
      <c r="C563" s="5"/>
    </row>
    <row r="564" ht="16.5" customHeight="1">
      <c r="A564" s="5"/>
      <c r="B564" s="5"/>
      <c r="C564" s="5"/>
    </row>
    <row r="565" ht="16.5" customHeight="1">
      <c r="A565" s="5"/>
      <c r="B565" s="5"/>
      <c r="C565" s="5"/>
    </row>
    <row r="566" ht="16.5" customHeight="1">
      <c r="A566" s="5"/>
      <c r="B566" s="5"/>
      <c r="C566" s="5"/>
    </row>
    <row r="567" ht="16.5" customHeight="1">
      <c r="A567" s="5"/>
      <c r="B567" s="5"/>
      <c r="C567" s="5"/>
    </row>
    <row r="568" ht="16.5" customHeight="1">
      <c r="A568" s="5"/>
      <c r="B568" s="5"/>
      <c r="C568" s="5"/>
    </row>
    <row r="569" ht="16.5" customHeight="1">
      <c r="A569" s="5"/>
      <c r="B569" s="5"/>
      <c r="C569" s="5"/>
    </row>
    <row r="570" ht="16.5" customHeight="1">
      <c r="A570" s="5"/>
      <c r="B570" s="5"/>
      <c r="C570" s="5"/>
    </row>
    <row r="571" ht="16.5" customHeight="1">
      <c r="A571" s="5"/>
      <c r="B571" s="5"/>
      <c r="C571" s="5"/>
    </row>
    <row r="572" ht="16.5" customHeight="1">
      <c r="A572" s="5"/>
      <c r="B572" s="5"/>
      <c r="C572" s="5"/>
    </row>
    <row r="573" ht="16.5" customHeight="1">
      <c r="A573" s="5"/>
      <c r="B573" s="5"/>
      <c r="C573" s="5"/>
    </row>
    <row r="574" ht="16.5" customHeight="1">
      <c r="A574" s="5"/>
      <c r="B574" s="5"/>
      <c r="C574" s="5"/>
    </row>
    <row r="575" ht="16.5" customHeight="1">
      <c r="A575" s="5"/>
      <c r="B575" s="5"/>
      <c r="C575" s="5"/>
    </row>
    <row r="576" ht="16.5" customHeight="1">
      <c r="A576" s="5"/>
      <c r="B576" s="5"/>
      <c r="C576" s="5"/>
    </row>
    <row r="577" ht="16.5" customHeight="1">
      <c r="A577" s="5"/>
      <c r="B577" s="5"/>
      <c r="C577" s="5"/>
    </row>
    <row r="578" ht="16.5" customHeight="1">
      <c r="A578" s="5"/>
      <c r="B578" s="5"/>
      <c r="C578" s="5"/>
    </row>
    <row r="579" ht="16.5" customHeight="1">
      <c r="A579" s="5"/>
      <c r="B579" s="5"/>
      <c r="C579" s="5"/>
    </row>
    <row r="580" ht="16.5" customHeight="1">
      <c r="A580" s="5"/>
      <c r="B580" s="5"/>
      <c r="C580" s="5"/>
    </row>
    <row r="581" ht="16.5" customHeight="1">
      <c r="A581" s="5"/>
      <c r="B581" s="5"/>
      <c r="C581" s="5"/>
    </row>
    <row r="582" ht="16.5" customHeight="1">
      <c r="A582" s="5"/>
      <c r="B582" s="5"/>
      <c r="C582" s="5"/>
    </row>
    <row r="583" ht="16.5" customHeight="1">
      <c r="A583" s="5"/>
      <c r="B583" s="5"/>
      <c r="C583" s="5"/>
    </row>
    <row r="584" ht="16.5" customHeight="1">
      <c r="A584" s="5"/>
      <c r="B584" s="5"/>
      <c r="C584" s="5"/>
    </row>
    <row r="585" ht="16.5" customHeight="1">
      <c r="A585" s="5"/>
      <c r="B585" s="5"/>
      <c r="C585" s="5"/>
    </row>
    <row r="586" ht="16.5" customHeight="1">
      <c r="A586" s="5"/>
      <c r="B586" s="5"/>
      <c r="C586" s="5"/>
    </row>
    <row r="587" ht="16.5" customHeight="1">
      <c r="A587" s="5"/>
      <c r="B587" s="5"/>
      <c r="C587" s="5"/>
    </row>
    <row r="588" ht="16.5" customHeight="1">
      <c r="A588" s="5"/>
      <c r="B588" s="5"/>
      <c r="C588" s="5"/>
    </row>
    <row r="589" ht="16.5" customHeight="1">
      <c r="A589" s="5"/>
      <c r="B589" s="5"/>
      <c r="C589" s="5"/>
    </row>
    <row r="590" ht="16.5" customHeight="1">
      <c r="A590" s="5"/>
      <c r="B590" s="5"/>
      <c r="C590" s="5"/>
    </row>
    <row r="591" ht="16.5" customHeight="1">
      <c r="A591" s="5"/>
      <c r="B591" s="5"/>
      <c r="C591" s="5"/>
    </row>
    <row r="592" ht="16.5" customHeight="1">
      <c r="A592" s="5"/>
      <c r="B592" s="5"/>
      <c r="C592" s="5"/>
    </row>
    <row r="593" ht="16.5" customHeight="1">
      <c r="A593" s="5"/>
      <c r="B593" s="5"/>
      <c r="C593" s="5"/>
    </row>
    <row r="594" ht="16.5" customHeight="1">
      <c r="A594" s="5"/>
      <c r="B594" s="5"/>
      <c r="C594" s="5"/>
    </row>
    <row r="595" ht="16.5" customHeight="1">
      <c r="A595" s="5"/>
      <c r="B595" s="5"/>
      <c r="C595" s="5"/>
    </row>
    <row r="596" ht="16.5" customHeight="1">
      <c r="A596" s="5"/>
      <c r="B596" s="5"/>
      <c r="C596" s="5"/>
    </row>
    <row r="597" ht="16.5" customHeight="1">
      <c r="A597" s="5"/>
      <c r="B597" s="5"/>
      <c r="C597" s="5"/>
    </row>
    <row r="598" ht="16.5" customHeight="1">
      <c r="A598" s="5"/>
      <c r="B598" s="5"/>
      <c r="C598" s="5"/>
    </row>
    <row r="599" ht="16.5" customHeight="1">
      <c r="A599" s="5"/>
      <c r="B599" s="5"/>
      <c r="C599" s="5"/>
    </row>
    <row r="600" ht="16.5" customHeight="1">
      <c r="A600" s="5"/>
      <c r="B600" s="5"/>
      <c r="C600" s="5"/>
    </row>
    <row r="601" ht="16.5" customHeight="1">
      <c r="A601" s="5"/>
      <c r="B601" s="5"/>
      <c r="C601" s="5"/>
    </row>
    <row r="602" ht="16.5" customHeight="1">
      <c r="A602" s="5"/>
      <c r="B602" s="5"/>
      <c r="C602" s="5"/>
    </row>
    <row r="603" ht="16.5" customHeight="1">
      <c r="A603" s="5"/>
      <c r="B603" s="5"/>
      <c r="C603" s="5"/>
    </row>
    <row r="604" ht="16.5" customHeight="1">
      <c r="A604" s="5"/>
      <c r="B604" s="5"/>
      <c r="C604" s="5"/>
    </row>
    <row r="605" ht="16.5" customHeight="1">
      <c r="A605" s="5"/>
      <c r="B605" s="5"/>
      <c r="C605" s="5"/>
    </row>
    <row r="606" ht="16.5" customHeight="1">
      <c r="A606" s="5"/>
      <c r="B606" s="5"/>
      <c r="C606" s="5"/>
    </row>
    <row r="607" ht="16.5" customHeight="1">
      <c r="A607" s="5"/>
      <c r="B607" s="5"/>
      <c r="C607" s="5"/>
    </row>
    <row r="608" ht="16.5" customHeight="1">
      <c r="A608" s="5"/>
      <c r="B608" s="5"/>
      <c r="C608" s="5"/>
    </row>
    <row r="609" ht="16.5" customHeight="1">
      <c r="A609" s="5"/>
      <c r="B609" s="5"/>
      <c r="C609" s="5"/>
    </row>
    <row r="610" ht="16.5" customHeight="1">
      <c r="A610" s="5"/>
      <c r="B610" s="5"/>
      <c r="C610" s="5"/>
    </row>
    <row r="611" ht="16.5" customHeight="1">
      <c r="A611" s="5"/>
      <c r="B611" s="5"/>
      <c r="C611" s="5"/>
    </row>
    <row r="612" ht="16.5" customHeight="1">
      <c r="A612" s="5"/>
      <c r="B612" s="5"/>
      <c r="C612" s="5"/>
    </row>
    <row r="613" ht="16.5" customHeight="1">
      <c r="A613" s="5"/>
      <c r="B613" s="5"/>
      <c r="C613" s="5"/>
    </row>
    <row r="614" ht="16.5" customHeight="1">
      <c r="A614" s="5"/>
      <c r="B614" s="5"/>
      <c r="C614" s="5"/>
    </row>
    <row r="615" ht="16.5" customHeight="1">
      <c r="A615" s="5"/>
      <c r="B615" s="5"/>
      <c r="C615" s="5"/>
    </row>
    <row r="616" ht="16.5" customHeight="1">
      <c r="A616" s="5"/>
      <c r="B616" s="5"/>
      <c r="C616" s="5"/>
    </row>
    <row r="617" ht="16.5" customHeight="1">
      <c r="A617" s="5"/>
      <c r="B617" s="5"/>
      <c r="C617" s="5"/>
    </row>
    <row r="618" ht="16.5" customHeight="1">
      <c r="A618" s="5"/>
      <c r="B618" s="5"/>
      <c r="C618" s="5"/>
    </row>
    <row r="619" ht="16.5" customHeight="1">
      <c r="A619" s="5"/>
      <c r="B619" s="5"/>
      <c r="C619" s="5"/>
    </row>
    <row r="620" ht="16.5" customHeight="1">
      <c r="A620" s="5"/>
      <c r="B620" s="5"/>
      <c r="C620" s="5"/>
    </row>
    <row r="621" ht="16.5" customHeight="1">
      <c r="A621" s="5"/>
      <c r="B621" s="5"/>
      <c r="C621" s="5"/>
    </row>
    <row r="622" ht="16.5" customHeight="1">
      <c r="A622" s="5"/>
      <c r="B622" s="5"/>
      <c r="C622" s="5"/>
    </row>
    <row r="623" ht="16.5" customHeight="1">
      <c r="A623" s="5"/>
      <c r="B623" s="5"/>
      <c r="C623" s="5"/>
    </row>
    <row r="624" ht="16.5" customHeight="1">
      <c r="A624" s="5"/>
      <c r="B624" s="5"/>
      <c r="C624" s="5"/>
    </row>
    <row r="625" ht="16.5" customHeight="1">
      <c r="A625" s="5"/>
      <c r="B625" s="5"/>
      <c r="C625" s="5"/>
    </row>
    <row r="626" ht="16.5" customHeight="1">
      <c r="A626" s="5"/>
      <c r="B626" s="5"/>
      <c r="C626" s="5"/>
    </row>
    <row r="627" ht="16.5" customHeight="1">
      <c r="A627" s="5"/>
      <c r="B627" s="5"/>
      <c r="C627" s="5"/>
    </row>
    <row r="628" ht="16.5" customHeight="1">
      <c r="A628" s="5"/>
      <c r="B628" s="5"/>
      <c r="C628" s="5"/>
    </row>
    <row r="629" ht="16.5" customHeight="1">
      <c r="A629" s="5"/>
      <c r="B629" s="5"/>
      <c r="C629" s="5"/>
    </row>
    <row r="630" ht="16.5" customHeight="1">
      <c r="A630" s="5"/>
      <c r="B630" s="5"/>
      <c r="C630" s="5"/>
    </row>
    <row r="631" ht="16.5" customHeight="1">
      <c r="A631" s="5"/>
      <c r="B631" s="5"/>
      <c r="C631" s="5"/>
    </row>
    <row r="632" ht="16.5" customHeight="1">
      <c r="A632" s="5"/>
      <c r="B632" s="5"/>
      <c r="C632" s="5"/>
    </row>
    <row r="633" ht="16.5" customHeight="1">
      <c r="A633" s="5"/>
      <c r="B633" s="5"/>
      <c r="C633" s="5"/>
    </row>
    <row r="634" ht="16.5" customHeight="1">
      <c r="A634" s="5"/>
      <c r="B634" s="5"/>
      <c r="C634" s="5"/>
    </row>
    <row r="635" ht="16.5" customHeight="1">
      <c r="A635" s="5"/>
      <c r="B635" s="5"/>
      <c r="C635" s="5"/>
    </row>
    <row r="636" ht="16.5" customHeight="1">
      <c r="A636" s="5"/>
      <c r="B636" s="5"/>
      <c r="C636" s="5"/>
    </row>
    <row r="637" ht="16.5" customHeight="1">
      <c r="A637" s="5"/>
      <c r="B637" s="5"/>
      <c r="C637" s="5"/>
    </row>
    <row r="638" ht="16.5" customHeight="1">
      <c r="A638" s="5"/>
      <c r="B638" s="5"/>
      <c r="C638" s="5"/>
    </row>
    <row r="639" ht="16.5" customHeight="1">
      <c r="A639" s="5"/>
      <c r="B639" s="5"/>
      <c r="C639" s="5"/>
    </row>
    <row r="640" ht="16.5" customHeight="1">
      <c r="A640" s="5"/>
      <c r="B640" s="5"/>
      <c r="C640" s="5"/>
    </row>
    <row r="641" ht="16.5" customHeight="1">
      <c r="A641" s="5"/>
      <c r="B641" s="5"/>
      <c r="C641" s="5"/>
    </row>
    <row r="642" ht="16.5" customHeight="1">
      <c r="A642" s="5"/>
      <c r="B642" s="5"/>
      <c r="C642" s="5"/>
    </row>
    <row r="643" ht="16.5" customHeight="1">
      <c r="A643" s="5"/>
      <c r="B643" s="5"/>
      <c r="C643" s="5"/>
    </row>
    <row r="644" ht="16.5" customHeight="1">
      <c r="A644" s="5"/>
      <c r="B644" s="5"/>
      <c r="C644" s="5"/>
    </row>
    <row r="645" ht="16.5" customHeight="1">
      <c r="A645" s="5"/>
      <c r="B645" s="5"/>
      <c r="C645" s="5"/>
    </row>
    <row r="646" ht="16.5" customHeight="1">
      <c r="A646" s="5"/>
      <c r="B646" s="5"/>
      <c r="C646" s="5"/>
    </row>
    <row r="647" ht="16.5" customHeight="1">
      <c r="A647" s="5"/>
      <c r="B647" s="5"/>
      <c r="C647" s="5"/>
    </row>
    <row r="648" ht="16.5" customHeight="1">
      <c r="A648" s="5"/>
      <c r="B648" s="5"/>
      <c r="C648" s="5"/>
    </row>
    <row r="649" ht="16.5" customHeight="1">
      <c r="A649" s="5"/>
      <c r="B649" s="5"/>
      <c r="C649" s="5"/>
    </row>
    <row r="650" ht="16.5" customHeight="1">
      <c r="A650" s="5"/>
      <c r="B650" s="5"/>
      <c r="C650" s="5"/>
    </row>
    <row r="651" ht="16.5" customHeight="1">
      <c r="A651" s="5"/>
      <c r="B651" s="5"/>
      <c r="C651" s="5"/>
    </row>
    <row r="652" ht="16.5" customHeight="1">
      <c r="A652" s="5"/>
      <c r="B652" s="5"/>
      <c r="C652" s="5"/>
    </row>
    <row r="653" ht="16.5" customHeight="1">
      <c r="A653" s="5"/>
      <c r="B653" s="5"/>
      <c r="C653" s="5"/>
    </row>
    <row r="654" ht="16.5" customHeight="1">
      <c r="A654" s="5"/>
      <c r="B654" s="5"/>
      <c r="C654" s="5"/>
    </row>
    <row r="655" ht="16.5" customHeight="1">
      <c r="A655" s="5"/>
      <c r="B655" s="5"/>
      <c r="C655" s="5"/>
    </row>
    <row r="656" ht="16.5" customHeight="1">
      <c r="A656" s="5"/>
      <c r="B656" s="5"/>
      <c r="C656" s="5"/>
    </row>
    <row r="657" ht="16.5" customHeight="1">
      <c r="A657" s="5"/>
      <c r="B657" s="5"/>
      <c r="C657" s="5"/>
    </row>
    <row r="658" ht="16.5" customHeight="1">
      <c r="A658" s="5"/>
      <c r="B658" s="5"/>
      <c r="C658" s="5"/>
    </row>
    <row r="659" ht="16.5" customHeight="1">
      <c r="A659" s="5"/>
      <c r="B659" s="5"/>
      <c r="C659" s="5"/>
    </row>
    <row r="660" ht="16.5" customHeight="1">
      <c r="A660" s="5"/>
      <c r="B660" s="5"/>
      <c r="C660" s="5"/>
    </row>
    <row r="661" ht="16.5" customHeight="1">
      <c r="A661" s="5"/>
      <c r="B661" s="5"/>
      <c r="C661" s="5"/>
    </row>
    <row r="662" ht="16.5" customHeight="1">
      <c r="A662" s="5"/>
      <c r="B662" s="5"/>
      <c r="C662" s="5"/>
    </row>
    <row r="663" ht="16.5" customHeight="1">
      <c r="A663" s="5"/>
      <c r="B663" s="5"/>
      <c r="C663" s="5"/>
    </row>
    <row r="664" ht="16.5" customHeight="1">
      <c r="A664" s="5"/>
      <c r="B664" s="5"/>
      <c r="C664" s="5"/>
    </row>
    <row r="665" ht="16.5" customHeight="1">
      <c r="A665" s="5"/>
      <c r="B665" s="5"/>
      <c r="C665" s="5"/>
    </row>
    <row r="666" ht="16.5" customHeight="1">
      <c r="A666" s="5"/>
      <c r="B666" s="5"/>
      <c r="C666" s="5"/>
    </row>
    <row r="667" ht="16.5" customHeight="1">
      <c r="A667" s="5"/>
      <c r="B667" s="5"/>
      <c r="C667" s="5"/>
    </row>
    <row r="668" ht="16.5" customHeight="1">
      <c r="A668" s="5"/>
      <c r="B668" s="5"/>
      <c r="C668" s="5"/>
    </row>
    <row r="669" ht="16.5" customHeight="1">
      <c r="A669" s="5"/>
      <c r="B669" s="5"/>
      <c r="C669" s="5"/>
    </row>
    <row r="670" ht="16.5" customHeight="1">
      <c r="A670" s="5"/>
      <c r="B670" s="5"/>
      <c r="C670" s="5"/>
    </row>
    <row r="671" ht="16.5" customHeight="1">
      <c r="A671" s="5"/>
      <c r="B671" s="5"/>
      <c r="C671" s="5"/>
    </row>
    <row r="672" ht="16.5" customHeight="1">
      <c r="A672" s="5"/>
      <c r="B672" s="5"/>
      <c r="C672" s="5"/>
    </row>
    <row r="673" ht="16.5" customHeight="1">
      <c r="A673" s="5"/>
      <c r="B673" s="5"/>
      <c r="C673" s="5"/>
    </row>
    <row r="674" ht="16.5" customHeight="1">
      <c r="A674" s="5"/>
      <c r="B674" s="5"/>
      <c r="C674" s="5"/>
    </row>
    <row r="675" ht="16.5" customHeight="1">
      <c r="A675" s="5"/>
      <c r="B675" s="5"/>
      <c r="C675" s="5"/>
    </row>
    <row r="676" ht="16.5" customHeight="1">
      <c r="A676" s="5"/>
      <c r="B676" s="5"/>
      <c r="C676" s="5"/>
    </row>
    <row r="677" ht="16.5" customHeight="1">
      <c r="A677" s="5"/>
      <c r="B677" s="5"/>
      <c r="C677" s="5"/>
    </row>
    <row r="678" ht="16.5" customHeight="1">
      <c r="A678" s="5"/>
      <c r="B678" s="5"/>
      <c r="C678" s="5"/>
    </row>
    <row r="679" ht="16.5" customHeight="1">
      <c r="A679" s="5"/>
      <c r="B679" s="5"/>
      <c r="C679" s="5"/>
    </row>
    <row r="680" ht="16.5" customHeight="1">
      <c r="A680" s="5"/>
      <c r="B680" s="5"/>
      <c r="C680" s="5"/>
    </row>
    <row r="681" ht="16.5" customHeight="1">
      <c r="A681" s="5"/>
      <c r="B681" s="5"/>
      <c r="C681" s="5"/>
    </row>
    <row r="682" ht="16.5" customHeight="1">
      <c r="A682" s="5"/>
      <c r="B682" s="5"/>
      <c r="C682" s="5"/>
    </row>
    <row r="683" ht="16.5" customHeight="1">
      <c r="A683" s="5"/>
      <c r="B683" s="5"/>
      <c r="C683" s="5"/>
    </row>
    <row r="684" ht="16.5" customHeight="1">
      <c r="A684" s="5"/>
      <c r="B684" s="5"/>
      <c r="C684" s="5"/>
    </row>
    <row r="685" ht="16.5" customHeight="1">
      <c r="A685" s="5"/>
      <c r="B685" s="5"/>
      <c r="C685" s="5"/>
    </row>
    <row r="686" ht="16.5" customHeight="1">
      <c r="A686" s="5"/>
      <c r="B686" s="5"/>
      <c r="C686" s="5"/>
    </row>
    <row r="687" ht="16.5" customHeight="1">
      <c r="A687" s="5"/>
      <c r="B687" s="5"/>
      <c r="C687" s="5"/>
    </row>
    <row r="688" ht="16.5" customHeight="1">
      <c r="A688" s="5"/>
      <c r="B688" s="5"/>
      <c r="C688" s="5"/>
    </row>
    <row r="689" ht="16.5" customHeight="1">
      <c r="A689" s="5"/>
      <c r="B689" s="5"/>
      <c r="C689" s="5"/>
    </row>
    <row r="690" ht="16.5" customHeight="1">
      <c r="A690" s="5"/>
      <c r="B690" s="5"/>
      <c r="C690" s="5"/>
    </row>
    <row r="691" ht="16.5" customHeight="1">
      <c r="A691" s="5"/>
      <c r="B691" s="5"/>
      <c r="C691" s="5"/>
    </row>
    <row r="692" ht="16.5" customHeight="1">
      <c r="A692" s="5"/>
      <c r="B692" s="5"/>
      <c r="C692" s="5"/>
    </row>
    <row r="693" ht="16.5" customHeight="1">
      <c r="A693" s="5"/>
      <c r="B693" s="5"/>
      <c r="C693" s="5"/>
    </row>
    <row r="694" ht="16.5" customHeight="1">
      <c r="A694" s="5"/>
      <c r="B694" s="5"/>
      <c r="C694" s="5"/>
    </row>
    <row r="695" ht="16.5" customHeight="1">
      <c r="A695" s="5"/>
      <c r="B695" s="5"/>
      <c r="C695" s="5"/>
    </row>
    <row r="696" ht="16.5" customHeight="1">
      <c r="A696" s="5"/>
      <c r="B696" s="5"/>
      <c r="C696" s="5"/>
    </row>
    <row r="697" ht="16.5" customHeight="1">
      <c r="A697" s="5"/>
      <c r="B697" s="5"/>
      <c r="C697" s="5"/>
    </row>
    <row r="698" ht="16.5" customHeight="1">
      <c r="A698" s="5"/>
      <c r="B698" s="5"/>
      <c r="C698" s="5"/>
    </row>
    <row r="699" ht="16.5" customHeight="1">
      <c r="A699" s="5"/>
      <c r="B699" s="5"/>
      <c r="C699" s="5"/>
    </row>
    <row r="700" ht="16.5" customHeight="1">
      <c r="A700" s="5"/>
      <c r="B700" s="5"/>
      <c r="C700" s="5"/>
    </row>
    <row r="701" ht="16.5" customHeight="1">
      <c r="A701" s="5"/>
      <c r="B701" s="5"/>
      <c r="C701" s="5"/>
    </row>
    <row r="702" ht="16.5" customHeight="1">
      <c r="A702" s="5"/>
      <c r="B702" s="5"/>
      <c r="C702" s="5"/>
    </row>
    <row r="703" ht="16.5" customHeight="1">
      <c r="A703" s="5"/>
      <c r="B703" s="5"/>
      <c r="C703" s="5"/>
    </row>
    <row r="704" ht="16.5" customHeight="1">
      <c r="A704" s="5"/>
      <c r="B704" s="5"/>
      <c r="C704" s="5"/>
    </row>
    <row r="705" ht="16.5" customHeight="1">
      <c r="A705" s="5"/>
      <c r="B705" s="5"/>
      <c r="C705" s="5"/>
    </row>
    <row r="706" ht="16.5" customHeight="1">
      <c r="A706" s="5"/>
      <c r="B706" s="5"/>
      <c r="C706" s="5"/>
    </row>
    <row r="707" ht="16.5" customHeight="1">
      <c r="A707" s="5"/>
      <c r="B707" s="5"/>
      <c r="C707" s="5"/>
    </row>
    <row r="708" ht="16.5" customHeight="1">
      <c r="A708" s="5"/>
      <c r="B708" s="5"/>
      <c r="C708" s="5"/>
    </row>
    <row r="709" ht="16.5" customHeight="1">
      <c r="A709" s="5"/>
      <c r="B709" s="5"/>
      <c r="C709" s="5"/>
    </row>
    <row r="710" ht="16.5" customHeight="1">
      <c r="A710" s="5"/>
      <c r="B710" s="5"/>
      <c r="C710" s="5"/>
    </row>
    <row r="711" ht="16.5" customHeight="1">
      <c r="A711" s="5"/>
      <c r="B711" s="5"/>
      <c r="C711" s="5"/>
    </row>
    <row r="712" ht="16.5" customHeight="1">
      <c r="A712" s="5"/>
      <c r="B712" s="5"/>
      <c r="C712" s="5"/>
    </row>
    <row r="713" ht="16.5" customHeight="1">
      <c r="A713" s="5"/>
      <c r="B713" s="5"/>
      <c r="C713" s="5"/>
    </row>
    <row r="714" ht="16.5" customHeight="1">
      <c r="A714" s="5"/>
      <c r="B714" s="5"/>
      <c r="C714" s="5"/>
    </row>
    <row r="715" ht="16.5" customHeight="1">
      <c r="A715" s="5"/>
      <c r="B715" s="5"/>
      <c r="C715" s="5"/>
    </row>
    <row r="716" ht="16.5" customHeight="1">
      <c r="A716" s="5"/>
      <c r="B716" s="5"/>
      <c r="C716" s="5"/>
    </row>
    <row r="717" ht="16.5" customHeight="1">
      <c r="A717" s="5"/>
      <c r="B717" s="5"/>
      <c r="C717" s="5"/>
    </row>
    <row r="718" ht="16.5" customHeight="1">
      <c r="A718" s="5"/>
      <c r="B718" s="5"/>
      <c r="C718" s="5"/>
    </row>
    <row r="719" ht="16.5" customHeight="1">
      <c r="A719" s="5"/>
      <c r="B719" s="5"/>
      <c r="C719" s="5"/>
    </row>
    <row r="720" ht="16.5" customHeight="1">
      <c r="A720" s="5"/>
      <c r="B720" s="5"/>
      <c r="C720" s="5"/>
    </row>
    <row r="721" ht="16.5" customHeight="1">
      <c r="A721" s="5"/>
      <c r="B721" s="5"/>
      <c r="C721" s="5"/>
    </row>
    <row r="722" ht="16.5" customHeight="1">
      <c r="A722" s="5"/>
      <c r="B722" s="5"/>
      <c r="C722" s="5"/>
    </row>
    <row r="723" ht="16.5" customHeight="1">
      <c r="A723" s="5"/>
      <c r="B723" s="5"/>
      <c r="C723" s="5"/>
    </row>
    <row r="724" ht="16.5" customHeight="1">
      <c r="A724" s="5"/>
      <c r="B724" s="5"/>
      <c r="C724" s="5"/>
    </row>
    <row r="725" ht="16.5" customHeight="1">
      <c r="A725" s="5"/>
      <c r="B725" s="5"/>
      <c r="C725" s="5"/>
    </row>
    <row r="726" ht="16.5" customHeight="1">
      <c r="A726" s="5"/>
      <c r="B726" s="5"/>
      <c r="C726" s="5"/>
    </row>
    <row r="727" ht="16.5" customHeight="1">
      <c r="A727" s="5"/>
      <c r="B727" s="5"/>
      <c r="C727" s="5"/>
    </row>
    <row r="728" ht="16.5" customHeight="1">
      <c r="A728" s="5"/>
      <c r="B728" s="5"/>
      <c r="C728" s="5"/>
    </row>
    <row r="729" ht="16.5" customHeight="1">
      <c r="A729" s="5"/>
      <c r="B729" s="5"/>
      <c r="C729" s="5"/>
    </row>
    <row r="730" ht="16.5" customHeight="1">
      <c r="A730" s="5"/>
      <c r="B730" s="5"/>
      <c r="C730" s="5"/>
    </row>
    <row r="731" ht="16.5" customHeight="1">
      <c r="A731" s="5"/>
      <c r="B731" s="5"/>
      <c r="C731" s="5"/>
    </row>
    <row r="732" ht="16.5" customHeight="1">
      <c r="A732" s="5"/>
      <c r="B732" s="5"/>
      <c r="C732" s="5"/>
    </row>
    <row r="733" ht="16.5" customHeight="1">
      <c r="A733" s="5"/>
      <c r="B733" s="5"/>
      <c r="C733" s="5"/>
    </row>
    <row r="734" ht="16.5" customHeight="1">
      <c r="A734" s="5"/>
      <c r="B734" s="5"/>
      <c r="C734" s="5"/>
    </row>
    <row r="735" ht="16.5" customHeight="1">
      <c r="A735" s="5"/>
      <c r="B735" s="5"/>
      <c r="C735" s="5"/>
    </row>
    <row r="736" ht="16.5" customHeight="1">
      <c r="A736" s="5"/>
      <c r="B736" s="5"/>
      <c r="C736" s="5"/>
    </row>
    <row r="737" ht="16.5" customHeight="1">
      <c r="A737" s="5"/>
      <c r="B737" s="5"/>
      <c r="C737" s="5"/>
    </row>
    <row r="738" ht="16.5" customHeight="1">
      <c r="A738" s="5"/>
      <c r="B738" s="5"/>
      <c r="C738" s="5"/>
    </row>
    <row r="739" ht="16.5" customHeight="1">
      <c r="A739" s="5"/>
      <c r="B739" s="5"/>
      <c r="C739" s="5"/>
    </row>
    <row r="740" ht="16.5" customHeight="1">
      <c r="A740" s="5"/>
      <c r="B740" s="5"/>
      <c r="C740" s="5"/>
    </row>
    <row r="741" ht="16.5" customHeight="1">
      <c r="A741" s="5"/>
      <c r="B741" s="5"/>
      <c r="C741" s="5"/>
    </row>
    <row r="742" ht="16.5" customHeight="1">
      <c r="A742" s="5"/>
      <c r="B742" s="5"/>
      <c r="C742" s="5"/>
    </row>
    <row r="743" ht="16.5" customHeight="1">
      <c r="A743" s="5"/>
      <c r="B743" s="5"/>
      <c r="C743" s="5"/>
    </row>
    <row r="744" ht="16.5" customHeight="1">
      <c r="A744" s="5"/>
      <c r="B744" s="5"/>
      <c r="C744" s="5"/>
    </row>
    <row r="745" ht="16.5" customHeight="1">
      <c r="A745" s="5"/>
      <c r="B745" s="5"/>
      <c r="C745" s="5"/>
    </row>
    <row r="746" ht="16.5" customHeight="1">
      <c r="A746" s="5"/>
      <c r="B746" s="5"/>
      <c r="C746" s="5"/>
    </row>
    <row r="747" ht="16.5" customHeight="1">
      <c r="A747" s="5"/>
      <c r="B747" s="5"/>
      <c r="C747" s="5"/>
    </row>
    <row r="748" ht="16.5" customHeight="1">
      <c r="A748" s="5"/>
      <c r="B748" s="5"/>
      <c r="C748" s="5"/>
    </row>
    <row r="749" ht="16.5" customHeight="1">
      <c r="A749" s="5"/>
      <c r="B749" s="5"/>
      <c r="C749" s="5"/>
    </row>
    <row r="750" ht="16.5" customHeight="1">
      <c r="A750" s="5"/>
      <c r="B750" s="5"/>
      <c r="C750" s="5"/>
    </row>
    <row r="751" ht="16.5" customHeight="1">
      <c r="A751" s="5"/>
      <c r="B751" s="5"/>
      <c r="C751" s="5"/>
    </row>
    <row r="752" ht="16.5" customHeight="1">
      <c r="A752" s="5"/>
      <c r="B752" s="5"/>
      <c r="C752" s="5"/>
    </row>
    <row r="753" ht="16.5" customHeight="1">
      <c r="A753" s="5"/>
      <c r="B753" s="5"/>
      <c r="C753" s="5"/>
    </row>
    <row r="754" ht="16.5" customHeight="1">
      <c r="A754" s="5"/>
      <c r="B754" s="5"/>
      <c r="C754" s="5"/>
    </row>
    <row r="755" ht="16.5" customHeight="1">
      <c r="A755" s="5"/>
      <c r="B755" s="5"/>
      <c r="C755" s="5"/>
    </row>
    <row r="756" ht="16.5" customHeight="1">
      <c r="A756" s="5"/>
      <c r="B756" s="5"/>
      <c r="C756" s="5"/>
    </row>
    <row r="757" ht="16.5" customHeight="1">
      <c r="A757" s="5"/>
      <c r="B757" s="5"/>
      <c r="C757" s="5"/>
    </row>
    <row r="758" ht="16.5" customHeight="1">
      <c r="A758" s="5"/>
      <c r="B758" s="5"/>
      <c r="C758" s="5"/>
    </row>
    <row r="759" ht="16.5" customHeight="1">
      <c r="A759" s="5"/>
      <c r="B759" s="5"/>
      <c r="C759" s="5"/>
    </row>
    <row r="760" ht="16.5" customHeight="1">
      <c r="A760" s="5"/>
      <c r="B760" s="5"/>
      <c r="C760" s="5"/>
    </row>
    <row r="761" ht="16.5" customHeight="1">
      <c r="A761" s="5"/>
      <c r="B761" s="5"/>
      <c r="C761" s="5"/>
    </row>
    <row r="762" ht="16.5" customHeight="1">
      <c r="A762" s="5"/>
      <c r="B762" s="5"/>
      <c r="C762" s="5"/>
    </row>
    <row r="763" ht="16.5" customHeight="1">
      <c r="A763" s="5"/>
      <c r="B763" s="5"/>
      <c r="C763" s="5"/>
    </row>
    <row r="764" ht="16.5" customHeight="1">
      <c r="A764" s="5"/>
      <c r="B764" s="5"/>
      <c r="C764" s="5"/>
    </row>
    <row r="765" ht="16.5" customHeight="1">
      <c r="A765" s="5"/>
      <c r="B765" s="5"/>
      <c r="C765" s="5"/>
    </row>
    <row r="766" ht="16.5" customHeight="1">
      <c r="A766" s="5"/>
      <c r="B766" s="5"/>
      <c r="C766" s="5"/>
    </row>
    <row r="767" ht="16.5" customHeight="1">
      <c r="A767" s="5"/>
      <c r="B767" s="5"/>
      <c r="C767" s="5"/>
    </row>
    <row r="768" ht="16.5" customHeight="1">
      <c r="A768" s="5"/>
      <c r="B768" s="5"/>
      <c r="C768" s="5"/>
    </row>
    <row r="769" ht="16.5" customHeight="1">
      <c r="A769" s="5"/>
      <c r="B769" s="5"/>
      <c r="C769" s="5"/>
    </row>
    <row r="770" ht="16.5" customHeight="1">
      <c r="A770" s="5"/>
      <c r="B770" s="5"/>
      <c r="C770" s="5"/>
    </row>
    <row r="771" ht="16.5" customHeight="1">
      <c r="A771" s="5"/>
      <c r="B771" s="5"/>
      <c r="C771" s="5"/>
    </row>
    <row r="772" ht="16.5" customHeight="1">
      <c r="A772" s="5"/>
      <c r="B772" s="5"/>
      <c r="C772" s="5"/>
    </row>
    <row r="773" ht="16.5" customHeight="1">
      <c r="A773" s="5"/>
      <c r="B773" s="5"/>
      <c r="C773" s="5"/>
    </row>
    <row r="774" ht="16.5" customHeight="1">
      <c r="A774" s="5"/>
      <c r="B774" s="5"/>
      <c r="C774" s="5"/>
    </row>
    <row r="775" ht="16.5" customHeight="1">
      <c r="A775" s="5"/>
      <c r="B775" s="5"/>
      <c r="C775" s="5"/>
    </row>
    <row r="776" ht="16.5" customHeight="1">
      <c r="A776" s="5"/>
      <c r="B776" s="5"/>
      <c r="C776" s="5"/>
    </row>
    <row r="777" ht="16.5" customHeight="1">
      <c r="A777" s="5"/>
      <c r="B777" s="5"/>
      <c r="C777" s="5"/>
    </row>
    <row r="778" ht="16.5" customHeight="1">
      <c r="A778" s="5"/>
      <c r="B778" s="5"/>
      <c r="C778" s="5"/>
    </row>
    <row r="779" ht="16.5" customHeight="1">
      <c r="A779" s="5"/>
      <c r="B779" s="5"/>
      <c r="C779" s="5"/>
    </row>
    <row r="780" ht="16.5" customHeight="1">
      <c r="A780" s="5"/>
      <c r="B780" s="5"/>
      <c r="C780" s="5"/>
    </row>
    <row r="781" ht="16.5" customHeight="1">
      <c r="A781" s="5"/>
      <c r="B781" s="5"/>
      <c r="C781" s="5"/>
    </row>
    <row r="782" ht="16.5" customHeight="1">
      <c r="A782" s="5"/>
      <c r="B782" s="5"/>
      <c r="C782" s="5"/>
    </row>
    <row r="783" ht="16.5" customHeight="1">
      <c r="A783" s="5"/>
      <c r="B783" s="5"/>
      <c r="C783" s="5"/>
    </row>
    <row r="784" ht="16.5" customHeight="1">
      <c r="A784" s="5"/>
      <c r="B784" s="5"/>
      <c r="C784" s="5"/>
    </row>
    <row r="785" ht="16.5" customHeight="1">
      <c r="A785" s="5"/>
      <c r="B785" s="5"/>
      <c r="C785" s="5"/>
    </row>
    <row r="786" ht="16.5" customHeight="1">
      <c r="A786" s="5"/>
      <c r="B786" s="5"/>
      <c r="C786" s="5"/>
    </row>
    <row r="787" ht="16.5" customHeight="1">
      <c r="A787" s="5"/>
      <c r="B787" s="5"/>
      <c r="C787" s="5"/>
    </row>
    <row r="788" ht="16.5" customHeight="1">
      <c r="A788" s="5"/>
      <c r="B788" s="5"/>
      <c r="C788" s="5"/>
    </row>
    <row r="789" ht="16.5" customHeight="1">
      <c r="A789" s="5"/>
      <c r="B789" s="5"/>
      <c r="C789" s="5"/>
    </row>
    <row r="790" ht="16.5" customHeight="1">
      <c r="A790" s="5"/>
      <c r="B790" s="5"/>
      <c r="C790" s="5"/>
    </row>
    <row r="791" ht="16.5" customHeight="1">
      <c r="A791" s="5"/>
      <c r="B791" s="5"/>
      <c r="C791" s="5"/>
    </row>
    <row r="792" ht="16.5" customHeight="1">
      <c r="A792" s="5"/>
      <c r="B792" s="5"/>
      <c r="C792" s="5"/>
    </row>
    <row r="793" ht="16.5" customHeight="1">
      <c r="A793" s="5"/>
      <c r="B793" s="5"/>
      <c r="C793" s="5"/>
    </row>
    <row r="794" ht="16.5" customHeight="1">
      <c r="A794" s="5"/>
      <c r="B794" s="5"/>
      <c r="C794" s="5"/>
    </row>
    <row r="795" ht="16.5" customHeight="1">
      <c r="A795" s="5"/>
      <c r="B795" s="5"/>
      <c r="C795" s="5"/>
    </row>
    <row r="796" ht="16.5" customHeight="1">
      <c r="A796" s="5"/>
      <c r="B796" s="5"/>
      <c r="C796" s="5"/>
    </row>
    <row r="797" ht="16.5" customHeight="1">
      <c r="A797" s="5"/>
      <c r="B797" s="5"/>
      <c r="C797" s="5"/>
    </row>
    <row r="798" ht="16.5" customHeight="1">
      <c r="A798" s="5"/>
      <c r="B798" s="5"/>
      <c r="C798" s="5"/>
    </row>
    <row r="799" ht="16.5" customHeight="1">
      <c r="A799" s="5"/>
      <c r="B799" s="5"/>
      <c r="C799" s="5"/>
    </row>
    <row r="800" ht="16.5" customHeight="1">
      <c r="A800" s="5"/>
      <c r="B800" s="5"/>
      <c r="C800" s="5"/>
    </row>
    <row r="801" ht="16.5" customHeight="1">
      <c r="A801" s="5"/>
      <c r="B801" s="5"/>
      <c r="C801" s="5"/>
    </row>
    <row r="802" ht="16.5" customHeight="1">
      <c r="A802" s="5"/>
      <c r="B802" s="5"/>
      <c r="C802" s="5"/>
    </row>
    <row r="803" ht="16.5" customHeight="1">
      <c r="A803" s="5"/>
      <c r="B803" s="5"/>
      <c r="C803" s="5"/>
    </row>
    <row r="804" ht="16.5" customHeight="1">
      <c r="A804" s="5"/>
      <c r="B804" s="5"/>
      <c r="C804" s="5"/>
    </row>
    <row r="805" ht="16.5" customHeight="1">
      <c r="A805" s="5"/>
      <c r="B805" s="5"/>
      <c r="C805" s="5"/>
    </row>
    <row r="806" ht="16.5" customHeight="1">
      <c r="A806" s="5"/>
      <c r="B806" s="5"/>
      <c r="C806" s="5"/>
    </row>
    <row r="807" ht="16.5" customHeight="1">
      <c r="A807" s="5"/>
      <c r="B807" s="5"/>
      <c r="C807" s="5"/>
    </row>
    <row r="808" ht="16.5" customHeight="1">
      <c r="A808" s="5"/>
      <c r="B808" s="5"/>
      <c r="C808" s="5"/>
    </row>
    <row r="809" ht="16.5" customHeight="1">
      <c r="A809" s="5"/>
      <c r="B809" s="5"/>
      <c r="C809" s="5"/>
    </row>
    <row r="810" ht="16.5" customHeight="1">
      <c r="A810" s="5"/>
      <c r="B810" s="5"/>
      <c r="C810" s="5"/>
    </row>
    <row r="811" ht="16.5" customHeight="1">
      <c r="A811" s="5"/>
      <c r="B811" s="5"/>
      <c r="C811" s="5"/>
    </row>
    <row r="812" ht="16.5" customHeight="1">
      <c r="A812" s="5"/>
      <c r="B812" s="5"/>
      <c r="C812" s="5"/>
    </row>
    <row r="813" ht="16.5" customHeight="1">
      <c r="A813" s="5"/>
      <c r="B813" s="5"/>
      <c r="C813" s="5"/>
    </row>
    <row r="814" ht="16.5" customHeight="1">
      <c r="A814" s="5"/>
      <c r="B814" s="5"/>
      <c r="C814" s="5"/>
    </row>
    <row r="815" ht="16.5" customHeight="1">
      <c r="A815" s="5"/>
      <c r="B815" s="5"/>
      <c r="C815" s="5"/>
    </row>
    <row r="816" ht="16.5" customHeight="1">
      <c r="A816" s="5"/>
      <c r="B816" s="5"/>
      <c r="C816" s="5"/>
    </row>
    <row r="817" ht="16.5" customHeight="1">
      <c r="A817" s="5"/>
      <c r="B817" s="5"/>
      <c r="C817" s="5"/>
    </row>
    <row r="818" ht="16.5" customHeight="1">
      <c r="A818" s="5"/>
      <c r="B818" s="5"/>
      <c r="C818" s="5"/>
    </row>
    <row r="819" ht="16.5" customHeight="1">
      <c r="A819" s="5"/>
      <c r="B819" s="5"/>
      <c r="C819" s="5"/>
    </row>
    <row r="820" ht="16.5" customHeight="1">
      <c r="A820" s="5"/>
      <c r="B820" s="5"/>
      <c r="C820" s="5"/>
    </row>
    <row r="821" ht="16.5" customHeight="1">
      <c r="A821" s="5"/>
      <c r="B821" s="5"/>
      <c r="C821" s="5"/>
    </row>
    <row r="822" ht="16.5" customHeight="1">
      <c r="A822" s="5"/>
      <c r="B822" s="5"/>
      <c r="C822" s="5"/>
    </row>
    <row r="823" ht="16.5" customHeight="1">
      <c r="A823" s="5"/>
      <c r="B823" s="5"/>
      <c r="C823" s="5"/>
    </row>
    <row r="824" ht="16.5" customHeight="1">
      <c r="A824" s="5"/>
      <c r="B824" s="5"/>
      <c r="C824" s="5"/>
    </row>
    <row r="825" ht="16.5" customHeight="1">
      <c r="A825" s="5"/>
      <c r="B825" s="5"/>
      <c r="C825" s="5"/>
    </row>
    <row r="826" ht="16.5" customHeight="1">
      <c r="A826" s="5"/>
      <c r="B826" s="5"/>
      <c r="C826" s="5"/>
    </row>
    <row r="827" ht="16.5" customHeight="1">
      <c r="A827" s="5"/>
      <c r="B827" s="5"/>
      <c r="C827" s="5"/>
    </row>
    <row r="828" ht="16.5" customHeight="1">
      <c r="A828" s="5"/>
      <c r="B828" s="5"/>
      <c r="C828" s="5"/>
    </row>
    <row r="829" ht="16.5" customHeight="1">
      <c r="A829" s="5"/>
      <c r="B829" s="5"/>
      <c r="C829" s="5"/>
    </row>
    <row r="830" ht="16.5" customHeight="1">
      <c r="A830" s="5"/>
      <c r="B830" s="5"/>
      <c r="C830" s="5"/>
    </row>
    <row r="831" ht="16.5" customHeight="1">
      <c r="A831" s="5"/>
      <c r="B831" s="5"/>
      <c r="C831" s="5"/>
    </row>
    <row r="832" ht="16.5" customHeight="1">
      <c r="A832" s="5"/>
      <c r="B832" s="5"/>
      <c r="C832" s="5"/>
    </row>
    <row r="833" ht="16.5" customHeight="1">
      <c r="A833" s="5"/>
      <c r="B833" s="5"/>
      <c r="C833" s="5"/>
    </row>
    <row r="834" ht="16.5" customHeight="1">
      <c r="A834" s="5"/>
      <c r="B834" s="5"/>
      <c r="C834" s="5"/>
    </row>
    <row r="835" ht="16.5" customHeight="1">
      <c r="A835" s="5"/>
      <c r="B835" s="5"/>
      <c r="C835" s="5"/>
    </row>
    <row r="836" ht="16.5" customHeight="1">
      <c r="A836" s="5"/>
      <c r="B836" s="5"/>
      <c r="C836" s="5"/>
    </row>
    <row r="837" ht="16.5" customHeight="1">
      <c r="A837" s="5"/>
      <c r="B837" s="5"/>
      <c r="C837" s="5"/>
    </row>
    <row r="838" ht="16.5" customHeight="1">
      <c r="A838" s="5"/>
      <c r="B838" s="5"/>
      <c r="C838" s="5"/>
    </row>
    <row r="839" ht="16.5" customHeight="1">
      <c r="A839" s="5"/>
      <c r="B839" s="5"/>
      <c r="C839" s="5"/>
    </row>
    <row r="840" ht="16.5" customHeight="1">
      <c r="A840" s="5"/>
      <c r="B840" s="5"/>
      <c r="C840" s="5"/>
    </row>
    <row r="841" ht="16.5" customHeight="1">
      <c r="A841" s="5"/>
      <c r="B841" s="5"/>
      <c r="C841" s="5"/>
    </row>
    <row r="842" ht="16.5" customHeight="1">
      <c r="A842" s="5"/>
      <c r="B842" s="5"/>
      <c r="C842" s="5"/>
    </row>
    <row r="843" ht="16.5" customHeight="1">
      <c r="A843" s="5"/>
      <c r="B843" s="5"/>
      <c r="C843" s="5"/>
    </row>
    <row r="844" ht="16.5" customHeight="1">
      <c r="A844" s="5"/>
      <c r="B844" s="5"/>
      <c r="C844" s="5"/>
    </row>
    <row r="845" ht="16.5" customHeight="1">
      <c r="A845" s="5"/>
      <c r="B845" s="5"/>
      <c r="C845" s="5"/>
    </row>
    <row r="846" ht="16.5" customHeight="1">
      <c r="A846" s="5"/>
      <c r="B846" s="5"/>
      <c r="C846" s="5"/>
    </row>
    <row r="847" ht="16.5" customHeight="1">
      <c r="A847" s="5"/>
      <c r="B847" s="5"/>
      <c r="C847" s="5"/>
    </row>
    <row r="848" ht="16.5" customHeight="1">
      <c r="A848" s="5"/>
      <c r="B848" s="5"/>
      <c r="C848" s="5"/>
    </row>
    <row r="849" ht="16.5" customHeight="1">
      <c r="A849" s="5"/>
      <c r="B849" s="5"/>
      <c r="C849" s="5"/>
    </row>
    <row r="850" ht="16.5" customHeight="1">
      <c r="A850" s="5"/>
      <c r="B850" s="5"/>
      <c r="C850" s="5"/>
    </row>
    <row r="851" ht="16.5" customHeight="1">
      <c r="A851" s="5"/>
      <c r="B851" s="5"/>
      <c r="C851" s="5"/>
    </row>
    <row r="852" ht="16.5" customHeight="1">
      <c r="A852" s="5"/>
      <c r="B852" s="5"/>
      <c r="C852" s="5"/>
    </row>
    <row r="853" ht="16.5" customHeight="1">
      <c r="A853" s="5"/>
      <c r="B853" s="5"/>
      <c r="C853" s="5"/>
    </row>
    <row r="854" ht="16.5" customHeight="1">
      <c r="A854" s="5"/>
      <c r="B854" s="5"/>
      <c r="C854" s="5"/>
    </row>
    <row r="855" ht="16.5" customHeight="1">
      <c r="A855" s="5"/>
      <c r="B855" s="5"/>
      <c r="C855" s="5"/>
    </row>
    <row r="856" ht="16.5" customHeight="1">
      <c r="A856" s="5"/>
      <c r="B856" s="5"/>
      <c r="C856" s="5"/>
    </row>
    <row r="857" ht="16.5" customHeight="1">
      <c r="A857" s="5"/>
      <c r="B857" s="5"/>
      <c r="C857" s="5"/>
    </row>
    <row r="858" ht="16.5" customHeight="1">
      <c r="A858" s="5"/>
      <c r="B858" s="5"/>
      <c r="C858" s="5"/>
    </row>
    <row r="859" ht="16.5" customHeight="1">
      <c r="A859" s="5"/>
      <c r="B859" s="5"/>
      <c r="C859" s="5"/>
    </row>
    <row r="860" ht="16.5" customHeight="1">
      <c r="A860" s="5"/>
      <c r="B860" s="5"/>
      <c r="C860" s="5"/>
    </row>
    <row r="861" ht="16.5" customHeight="1">
      <c r="A861" s="5"/>
      <c r="B861" s="5"/>
      <c r="C861" s="5"/>
    </row>
    <row r="862" ht="16.5" customHeight="1">
      <c r="A862" s="5"/>
      <c r="B862" s="5"/>
      <c r="C862" s="5"/>
    </row>
    <row r="863" ht="16.5" customHeight="1">
      <c r="A863" s="5"/>
      <c r="B863" s="5"/>
      <c r="C863" s="5"/>
    </row>
    <row r="864" ht="16.5" customHeight="1">
      <c r="A864" s="5"/>
      <c r="B864" s="5"/>
      <c r="C864" s="5"/>
    </row>
    <row r="865" ht="16.5" customHeight="1">
      <c r="A865" s="5"/>
      <c r="B865" s="5"/>
      <c r="C865" s="5"/>
    </row>
    <row r="866" ht="16.5" customHeight="1">
      <c r="A866" s="5"/>
      <c r="B866" s="5"/>
      <c r="C866" s="5"/>
    </row>
    <row r="867" ht="16.5" customHeight="1">
      <c r="A867" s="5"/>
      <c r="B867" s="5"/>
      <c r="C867" s="5"/>
    </row>
    <row r="868" ht="16.5" customHeight="1">
      <c r="A868" s="5"/>
      <c r="B868" s="5"/>
      <c r="C868" s="5"/>
    </row>
    <row r="869" ht="16.5" customHeight="1">
      <c r="A869" s="5"/>
      <c r="B869" s="5"/>
      <c r="C869" s="5"/>
    </row>
    <row r="870" ht="16.5" customHeight="1">
      <c r="A870" s="5"/>
      <c r="B870" s="5"/>
      <c r="C870" s="5"/>
    </row>
    <row r="871" ht="16.5" customHeight="1">
      <c r="A871" s="5"/>
      <c r="B871" s="5"/>
      <c r="C871" s="5"/>
    </row>
    <row r="872" ht="16.5" customHeight="1">
      <c r="A872" s="5"/>
      <c r="B872" s="5"/>
      <c r="C872" s="5"/>
    </row>
    <row r="873" ht="16.5" customHeight="1">
      <c r="A873" s="5"/>
      <c r="B873" s="5"/>
      <c r="C873" s="5"/>
    </row>
    <row r="874" ht="16.5" customHeight="1">
      <c r="A874" s="5"/>
      <c r="B874" s="5"/>
      <c r="C874" s="5"/>
    </row>
    <row r="875" ht="16.5" customHeight="1">
      <c r="A875" s="5"/>
      <c r="B875" s="5"/>
      <c r="C875" s="5"/>
    </row>
    <row r="876" ht="16.5" customHeight="1">
      <c r="A876" s="5"/>
      <c r="B876" s="5"/>
      <c r="C876" s="5"/>
    </row>
    <row r="877" ht="16.5" customHeight="1">
      <c r="A877" s="5"/>
      <c r="B877" s="5"/>
      <c r="C877" s="5"/>
    </row>
    <row r="878" ht="16.5" customHeight="1">
      <c r="A878" s="5"/>
      <c r="B878" s="5"/>
      <c r="C878" s="5"/>
    </row>
    <row r="879" ht="16.5" customHeight="1">
      <c r="A879" s="5"/>
      <c r="B879" s="5"/>
      <c r="C879" s="5"/>
    </row>
    <row r="880" ht="16.5" customHeight="1">
      <c r="A880" s="5"/>
      <c r="B880" s="5"/>
      <c r="C880" s="5"/>
    </row>
    <row r="881" ht="16.5" customHeight="1">
      <c r="A881" s="5"/>
      <c r="B881" s="5"/>
      <c r="C881" s="5"/>
    </row>
    <row r="882" ht="16.5" customHeight="1">
      <c r="A882" s="5"/>
      <c r="B882" s="5"/>
      <c r="C882" s="5"/>
    </row>
    <row r="883" ht="16.5" customHeight="1">
      <c r="A883" s="5"/>
      <c r="B883" s="5"/>
      <c r="C883" s="5"/>
    </row>
    <row r="884" ht="16.5" customHeight="1">
      <c r="A884" s="5"/>
      <c r="B884" s="5"/>
      <c r="C884" s="5"/>
    </row>
    <row r="885" ht="16.5" customHeight="1">
      <c r="A885" s="5"/>
      <c r="B885" s="5"/>
      <c r="C885" s="5"/>
    </row>
    <row r="886" ht="16.5" customHeight="1">
      <c r="A886" s="5"/>
      <c r="B886" s="5"/>
      <c r="C886" s="5"/>
    </row>
    <row r="887" ht="16.5" customHeight="1">
      <c r="A887" s="5"/>
      <c r="B887" s="5"/>
      <c r="C887" s="5"/>
    </row>
    <row r="888" ht="16.5" customHeight="1">
      <c r="A888" s="5"/>
      <c r="B888" s="5"/>
      <c r="C888" s="5"/>
    </row>
    <row r="889" ht="16.5" customHeight="1">
      <c r="A889" s="5"/>
      <c r="B889" s="5"/>
      <c r="C889" s="5"/>
    </row>
    <row r="890" ht="16.5" customHeight="1">
      <c r="A890" s="5"/>
      <c r="B890" s="5"/>
      <c r="C890" s="5"/>
    </row>
    <row r="891" ht="16.5" customHeight="1">
      <c r="A891" s="5"/>
      <c r="B891" s="5"/>
      <c r="C891" s="5"/>
    </row>
    <row r="892" ht="16.5" customHeight="1">
      <c r="A892" s="5"/>
      <c r="B892" s="5"/>
      <c r="C892" s="5"/>
    </row>
    <row r="893" ht="16.5" customHeight="1">
      <c r="A893" s="5"/>
      <c r="B893" s="5"/>
      <c r="C893" s="5"/>
    </row>
    <row r="894" ht="16.5" customHeight="1">
      <c r="A894" s="5"/>
      <c r="B894" s="5"/>
      <c r="C894" s="5"/>
    </row>
    <row r="895" ht="16.5" customHeight="1">
      <c r="A895" s="5"/>
      <c r="B895" s="5"/>
      <c r="C895" s="5"/>
    </row>
    <row r="896" ht="16.5" customHeight="1">
      <c r="A896" s="5"/>
      <c r="B896" s="5"/>
      <c r="C896" s="5"/>
    </row>
    <row r="897" ht="16.5" customHeight="1">
      <c r="A897" s="5"/>
      <c r="B897" s="5"/>
      <c r="C897" s="5"/>
    </row>
    <row r="898" ht="16.5" customHeight="1">
      <c r="A898" s="5"/>
      <c r="B898" s="5"/>
      <c r="C898" s="5"/>
    </row>
    <row r="899" ht="16.5" customHeight="1">
      <c r="A899" s="5"/>
      <c r="B899" s="5"/>
      <c r="C899" s="5"/>
    </row>
    <row r="900" ht="16.5" customHeight="1">
      <c r="A900" s="5"/>
      <c r="B900" s="5"/>
      <c r="C900" s="5"/>
    </row>
    <row r="901" ht="16.5" customHeight="1">
      <c r="A901" s="5"/>
      <c r="B901" s="5"/>
      <c r="C901" s="5"/>
    </row>
    <row r="902" ht="16.5" customHeight="1">
      <c r="A902" s="5"/>
      <c r="B902" s="5"/>
      <c r="C902" s="5"/>
    </row>
    <row r="903" ht="16.5" customHeight="1">
      <c r="A903" s="5"/>
      <c r="B903" s="5"/>
      <c r="C903" s="5"/>
    </row>
    <row r="904" ht="16.5" customHeight="1">
      <c r="A904" s="5"/>
      <c r="B904" s="5"/>
      <c r="C904" s="5"/>
    </row>
    <row r="905" ht="16.5" customHeight="1">
      <c r="A905" s="5"/>
      <c r="B905" s="5"/>
      <c r="C905" s="5"/>
    </row>
    <row r="906" ht="16.5" customHeight="1">
      <c r="A906" s="5"/>
      <c r="B906" s="5"/>
      <c r="C906" s="5"/>
    </row>
    <row r="907" ht="16.5" customHeight="1">
      <c r="A907" s="5"/>
      <c r="B907" s="5"/>
      <c r="C907" s="5"/>
    </row>
    <row r="908" ht="16.5" customHeight="1">
      <c r="A908" s="5"/>
      <c r="B908" s="5"/>
      <c r="C908" s="5"/>
    </row>
    <row r="909" ht="16.5" customHeight="1">
      <c r="A909" s="5"/>
      <c r="B909" s="5"/>
      <c r="C909" s="5"/>
    </row>
    <row r="910" ht="16.5" customHeight="1">
      <c r="A910" s="5"/>
      <c r="B910" s="5"/>
      <c r="C910" s="5"/>
    </row>
    <row r="911" ht="16.5" customHeight="1">
      <c r="A911" s="5"/>
      <c r="B911" s="5"/>
      <c r="C911" s="5"/>
    </row>
    <row r="912" ht="16.5" customHeight="1">
      <c r="A912" s="5"/>
      <c r="B912" s="5"/>
      <c r="C912" s="5"/>
    </row>
    <row r="913" ht="16.5" customHeight="1">
      <c r="A913" s="5"/>
      <c r="B913" s="5"/>
      <c r="C913" s="5"/>
    </row>
    <row r="914" ht="16.5" customHeight="1">
      <c r="A914" s="5"/>
      <c r="B914" s="5"/>
      <c r="C914" s="5"/>
    </row>
    <row r="915" ht="16.5" customHeight="1">
      <c r="A915" s="5"/>
      <c r="B915" s="5"/>
      <c r="C915" s="5"/>
    </row>
    <row r="916" ht="16.5" customHeight="1">
      <c r="A916" s="5"/>
      <c r="B916" s="5"/>
      <c r="C916" s="5"/>
    </row>
    <row r="917" ht="16.5" customHeight="1">
      <c r="A917" s="5"/>
      <c r="B917" s="5"/>
      <c r="C917" s="5"/>
    </row>
    <row r="918" ht="16.5" customHeight="1">
      <c r="A918" s="5"/>
      <c r="B918" s="5"/>
      <c r="C918" s="5"/>
    </row>
    <row r="919" ht="16.5" customHeight="1">
      <c r="A919" s="5"/>
      <c r="B919" s="5"/>
      <c r="C919" s="5"/>
    </row>
    <row r="920" ht="16.5" customHeight="1">
      <c r="A920" s="5"/>
      <c r="B920" s="5"/>
      <c r="C920" s="5"/>
    </row>
    <row r="921" ht="16.5" customHeight="1">
      <c r="A921" s="5"/>
      <c r="B921" s="5"/>
      <c r="C921" s="5"/>
    </row>
    <row r="922" ht="16.5" customHeight="1">
      <c r="A922" s="5"/>
      <c r="B922" s="5"/>
      <c r="C922" s="5"/>
    </row>
    <row r="923" ht="16.5" customHeight="1">
      <c r="A923" s="5"/>
      <c r="B923" s="5"/>
      <c r="C923" s="5"/>
    </row>
    <row r="924" ht="16.5" customHeight="1">
      <c r="A924" s="5"/>
      <c r="B924" s="5"/>
      <c r="C924" s="5"/>
    </row>
    <row r="925" ht="16.5" customHeight="1">
      <c r="A925" s="5"/>
      <c r="B925" s="5"/>
      <c r="C925" s="5"/>
    </row>
    <row r="926" ht="16.5" customHeight="1">
      <c r="A926" s="5"/>
      <c r="B926" s="5"/>
      <c r="C926" s="5"/>
    </row>
    <row r="927" ht="16.5" customHeight="1">
      <c r="A927" s="5"/>
      <c r="B927" s="5"/>
      <c r="C927" s="5"/>
    </row>
    <row r="928" ht="16.5" customHeight="1">
      <c r="A928" s="5"/>
      <c r="B928" s="5"/>
      <c r="C928" s="5"/>
    </row>
    <row r="929" ht="16.5" customHeight="1">
      <c r="A929" s="5"/>
      <c r="B929" s="5"/>
      <c r="C929" s="5"/>
    </row>
    <row r="930" ht="16.5" customHeight="1">
      <c r="A930" s="5"/>
      <c r="B930" s="5"/>
      <c r="C930" s="5"/>
    </row>
    <row r="931" ht="16.5" customHeight="1">
      <c r="A931" s="5"/>
      <c r="B931" s="5"/>
      <c r="C931" s="5"/>
    </row>
    <row r="932" ht="16.5" customHeight="1">
      <c r="A932" s="5"/>
      <c r="B932" s="5"/>
      <c r="C932" s="5"/>
    </row>
    <row r="933" ht="16.5" customHeight="1">
      <c r="A933" s="5"/>
      <c r="B933" s="5"/>
      <c r="C933" s="5"/>
    </row>
    <row r="934" ht="16.5" customHeight="1">
      <c r="A934" s="5"/>
      <c r="B934" s="5"/>
      <c r="C934" s="5"/>
    </row>
    <row r="935" ht="16.5" customHeight="1">
      <c r="A935" s="5"/>
      <c r="B935" s="5"/>
      <c r="C935" s="5"/>
    </row>
    <row r="936" ht="16.5" customHeight="1">
      <c r="A936" s="5"/>
      <c r="B936" s="5"/>
      <c r="C936" s="5"/>
    </row>
    <row r="937" ht="16.5" customHeight="1">
      <c r="A937" s="5"/>
      <c r="B937" s="5"/>
      <c r="C937" s="5"/>
    </row>
    <row r="938" ht="16.5" customHeight="1">
      <c r="A938" s="5"/>
      <c r="B938" s="5"/>
      <c r="C938" s="5"/>
    </row>
    <row r="939" ht="16.5" customHeight="1">
      <c r="A939" s="5"/>
      <c r="B939" s="5"/>
      <c r="C939" s="5"/>
    </row>
    <row r="940" ht="16.5" customHeight="1">
      <c r="A940" s="5"/>
      <c r="B940" s="5"/>
      <c r="C940" s="5"/>
    </row>
    <row r="941" ht="16.5" customHeight="1">
      <c r="A941" s="5"/>
      <c r="B941" s="5"/>
      <c r="C941" s="5"/>
    </row>
    <row r="942" ht="16.5" customHeight="1">
      <c r="A942" s="5"/>
      <c r="B942" s="5"/>
      <c r="C942" s="5"/>
    </row>
    <row r="943" ht="16.5" customHeight="1">
      <c r="A943" s="5"/>
      <c r="B943" s="5"/>
      <c r="C943" s="5"/>
    </row>
    <row r="944" ht="16.5" customHeight="1">
      <c r="A944" s="5"/>
      <c r="B944" s="5"/>
      <c r="C944" s="5"/>
    </row>
    <row r="945" ht="16.5" customHeight="1">
      <c r="A945" s="5"/>
      <c r="B945" s="5"/>
      <c r="C945" s="5"/>
    </row>
    <row r="946" ht="16.5" customHeight="1">
      <c r="A946" s="5"/>
      <c r="B946" s="5"/>
      <c r="C946" s="5"/>
    </row>
    <row r="947" ht="16.5" customHeight="1">
      <c r="A947" s="5"/>
      <c r="B947" s="5"/>
      <c r="C947" s="5"/>
    </row>
    <row r="948" ht="16.5" customHeight="1">
      <c r="A948" s="5"/>
      <c r="B948" s="5"/>
      <c r="C948" s="5"/>
    </row>
    <row r="949" ht="16.5" customHeight="1">
      <c r="A949" s="5"/>
      <c r="B949" s="5"/>
      <c r="C949" s="5"/>
    </row>
    <row r="950" ht="16.5" customHeight="1">
      <c r="A950" s="5"/>
      <c r="B950" s="5"/>
      <c r="C950" s="5"/>
    </row>
    <row r="951" ht="16.5" customHeight="1">
      <c r="A951" s="5"/>
      <c r="B951" s="5"/>
      <c r="C951" s="5"/>
    </row>
    <row r="952" ht="16.5" customHeight="1">
      <c r="A952" s="5"/>
      <c r="B952" s="5"/>
      <c r="C952" s="5"/>
    </row>
    <row r="953" ht="16.5" customHeight="1">
      <c r="A953" s="5"/>
      <c r="B953" s="5"/>
      <c r="C953" s="5"/>
    </row>
    <row r="954" ht="16.5" customHeight="1">
      <c r="A954" s="5"/>
      <c r="B954" s="5"/>
      <c r="C954" s="5"/>
    </row>
    <row r="955" ht="16.5" customHeight="1">
      <c r="A955" s="5"/>
      <c r="B955" s="5"/>
      <c r="C955" s="5"/>
    </row>
    <row r="956" ht="16.5" customHeight="1">
      <c r="A956" s="5"/>
      <c r="B956" s="5"/>
      <c r="C956" s="5"/>
    </row>
    <row r="957" ht="16.5" customHeight="1">
      <c r="A957" s="5"/>
      <c r="B957" s="5"/>
      <c r="C957" s="5"/>
    </row>
    <row r="958" ht="16.5" customHeight="1">
      <c r="A958" s="5"/>
      <c r="B958" s="5"/>
      <c r="C958" s="5"/>
    </row>
    <row r="959" ht="16.5" customHeight="1">
      <c r="A959" s="5"/>
      <c r="B959" s="5"/>
      <c r="C959" s="5"/>
    </row>
    <row r="960" ht="16.5" customHeight="1">
      <c r="A960" s="5"/>
      <c r="B960" s="5"/>
      <c r="C960" s="5"/>
    </row>
    <row r="961" ht="16.5" customHeight="1">
      <c r="A961" s="5"/>
      <c r="B961" s="5"/>
      <c r="C961" s="5"/>
    </row>
    <row r="962" ht="16.5" customHeight="1">
      <c r="A962" s="5"/>
      <c r="B962" s="5"/>
      <c r="C962" s="5"/>
    </row>
    <row r="963" ht="16.5" customHeight="1">
      <c r="A963" s="5"/>
      <c r="B963" s="5"/>
      <c r="C963" s="5"/>
    </row>
    <row r="964" ht="16.5" customHeight="1">
      <c r="A964" s="5"/>
      <c r="B964" s="5"/>
      <c r="C964" s="5"/>
    </row>
    <row r="965" ht="16.5" customHeight="1">
      <c r="A965" s="5"/>
      <c r="B965" s="5"/>
      <c r="C965" s="5"/>
    </row>
    <row r="966" ht="16.5" customHeight="1">
      <c r="A966" s="5"/>
      <c r="B966" s="5"/>
      <c r="C966" s="5"/>
    </row>
    <row r="967" ht="16.5" customHeight="1">
      <c r="A967" s="5"/>
      <c r="B967" s="5"/>
      <c r="C967" s="5"/>
    </row>
    <row r="968" ht="16.5" customHeight="1">
      <c r="A968" s="5"/>
      <c r="B968" s="5"/>
      <c r="C968" s="5"/>
    </row>
    <row r="969" ht="16.5" customHeight="1">
      <c r="A969" s="5"/>
      <c r="B969" s="5"/>
      <c r="C969" s="5"/>
    </row>
    <row r="970" ht="16.5" customHeight="1">
      <c r="A970" s="5"/>
      <c r="B970" s="5"/>
      <c r="C970" s="5"/>
    </row>
    <row r="971" ht="16.5" customHeight="1">
      <c r="A971" s="5"/>
      <c r="B971" s="5"/>
      <c r="C971" s="5"/>
    </row>
    <row r="972" ht="16.5" customHeight="1">
      <c r="A972" s="5"/>
      <c r="B972" s="5"/>
      <c r="C972" s="5"/>
    </row>
    <row r="973" ht="16.5" customHeight="1">
      <c r="A973" s="5"/>
      <c r="B973" s="5"/>
      <c r="C973" s="5"/>
    </row>
    <row r="974" ht="16.5" customHeight="1">
      <c r="A974" s="5"/>
      <c r="B974" s="5"/>
      <c r="C974" s="5"/>
    </row>
    <row r="975" ht="16.5" customHeight="1">
      <c r="A975" s="5"/>
      <c r="B975" s="5"/>
      <c r="C975" s="5"/>
    </row>
    <row r="976" ht="16.5" customHeight="1">
      <c r="A976" s="5"/>
      <c r="B976" s="5"/>
      <c r="C976" s="5"/>
    </row>
    <row r="977" ht="16.5" customHeight="1">
      <c r="A977" s="5"/>
      <c r="B977" s="5"/>
      <c r="C977" s="5"/>
    </row>
    <row r="978" ht="16.5" customHeight="1">
      <c r="A978" s="5"/>
      <c r="B978" s="5"/>
      <c r="C978" s="5"/>
    </row>
    <row r="979" ht="16.5" customHeight="1">
      <c r="A979" s="5"/>
      <c r="B979" s="5"/>
      <c r="C979" s="5"/>
    </row>
    <row r="980" ht="16.5" customHeight="1">
      <c r="A980" s="5"/>
      <c r="B980" s="5"/>
      <c r="C980" s="5"/>
    </row>
    <row r="981" ht="16.5" customHeight="1">
      <c r="A981" s="5"/>
      <c r="B981" s="5"/>
      <c r="C981" s="5"/>
    </row>
    <row r="982" ht="16.5" customHeight="1">
      <c r="A982" s="5"/>
      <c r="B982" s="5"/>
      <c r="C982" s="5"/>
    </row>
    <row r="983" ht="16.5" customHeight="1">
      <c r="A983" s="5"/>
      <c r="B983" s="5"/>
      <c r="C983" s="5"/>
    </row>
    <row r="984" ht="16.5" customHeight="1">
      <c r="A984" s="5"/>
      <c r="B984" s="5"/>
      <c r="C984" s="5"/>
    </row>
    <row r="985" ht="16.5" customHeight="1">
      <c r="A985" s="5"/>
      <c r="B985" s="5"/>
      <c r="C985" s="5"/>
    </row>
    <row r="986" ht="16.5" customHeight="1">
      <c r="A986" s="5"/>
      <c r="B986" s="5"/>
      <c r="C986" s="5"/>
    </row>
    <row r="987" ht="16.5" customHeight="1">
      <c r="A987" s="5"/>
      <c r="B987" s="5"/>
      <c r="C987" s="5"/>
    </row>
    <row r="988" ht="16.5" customHeight="1">
      <c r="A988" s="5"/>
      <c r="B988" s="5"/>
      <c r="C988" s="5"/>
    </row>
    <row r="989" ht="16.5" customHeight="1">
      <c r="A989" s="5"/>
      <c r="B989" s="5"/>
      <c r="C989" s="5"/>
    </row>
    <row r="990" ht="16.5" customHeight="1">
      <c r="A990" s="5"/>
      <c r="B990" s="5"/>
      <c r="C990" s="5"/>
    </row>
    <row r="991" ht="16.5" customHeight="1">
      <c r="A991" s="5"/>
      <c r="B991" s="5"/>
      <c r="C991" s="5"/>
    </row>
    <row r="992" ht="16.5" customHeight="1">
      <c r="A992" s="5"/>
      <c r="B992" s="5"/>
      <c r="C992" s="5"/>
    </row>
    <row r="993" ht="16.5" customHeight="1">
      <c r="A993" s="5"/>
      <c r="B993" s="5"/>
      <c r="C993" s="5"/>
    </row>
    <row r="994" ht="16.5" customHeight="1">
      <c r="A994" s="5"/>
      <c r="B994" s="5"/>
      <c r="C994" s="5"/>
    </row>
    <row r="995" ht="16.5" customHeight="1">
      <c r="A995" s="5"/>
      <c r="B995" s="5"/>
      <c r="C995" s="5"/>
    </row>
    <row r="996" ht="16.5" customHeight="1">
      <c r="A996" s="5"/>
      <c r="B996" s="5"/>
      <c r="C996" s="5"/>
    </row>
    <row r="997" ht="16.5" customHeight="1">
      <c r="A997" s="5"/>
      <c r="B997" s="5"/>
      <c r="C997" s="5"/>
    </row>
    <row r="998" ht="16.5" customHeight="1">
      <c r="A998" s="5"/>
      <c r="B998" s="5"/>
      <c r="C998" s="5"/>
    </row>
    <row r="999" ht="16.5" customHeight="1">
      <c r="A999" s="5"/>
      <c r="B999" s="5"/>
      <c r="C999" s="5"/>
    </row>
    <row r="1000" ht="16.5" customHeight="1">
      <c r="A1000" s="5"/>
      <c r="B1000" s="5"/>
      <c r="C1000" s="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0"/>
    <col customWidth="1" min="2" max="3" width="10.89"/>
    <col customWidth="1" min="4" max="4" width="18.33"/>
    <col customWidth="1" min="5" max="5" width="18.11"/>
    <col customWidth="1" min="6" max="6" width="14.67"/>
    <col customWidth="1" min="7" max="9" width="10.89"/>
    <col customWidth="1" min="10" max="10" width="17.44"/>
    <col customWidth="1" min="11" max="26" width="8.56"/>
  </cols>
  <sheetData>
    <row r="1" ht="16.5" customHeight="1">
      <c r="A1" s="2" t="s">
        <v>1</v>
      </c>
      <c r="B1" s="2" t="s">
        <v>3</v>
      </c>
      <c r="C1" s="2" t="s">
        <v>4</v>
      </c>
      <c r="D1" s="2" t="s">
        <v>8</v>
      </c>
      <c r="E1" s="2" t="s">
        <v>9</v>
      </c>
      <c r="F1" s="2" t="s">
        <v>14</v>
      </c>
      <c r="G1" s="2" t="s">
        <v>16</v>
      </c>
      <c r="H1" s="2" t="s">
        <v>17</v>
      </c>
      <c r="I1" s="2" t="s">
        <v>15</v>
      </c>
      <c r="J1" s="2" t="s">
        <v>18</v>
      </c>
    </row>
    <row r="2" ht="16.5" customHeight="1">
      <c r="A2" s="5" t="s">
        <v>11</v>
      </c>
      <c r="B2" s="10" t="s">
        <v>12</v>
      </c>
      <c r="C2" s="5" t="s">
        <v>15</v>
      </c>
      <c r="D2" s="8">
        <v>5.968798E9</v>
      </c>
      <c r="E2" s="8">
        <v>9.66637E8</v>
      </c>
      <c r="F2" s="1" t="str">
        <f t="shared" ref="F2:F101" si="1">IF(C2=C1,OFFSET(D2,-1,0),"")</f>
        <v/>
      </c>
      <c r="H2" s="1" t="str">
        <f t="shared" ref="H2:H101" si="2">IF(C2=C1,OFFSET(G2,-1,0),"")</f>
        <v/>
      </c>
    </row>
    <row r="3" ht="16.5" customHeight="1">
      <c r="A3" s="5" t="s">
        <v>11</v>
      </c>
      <c r="B3" s="10" t="s">
        <v>26</v>
      </c>
      <c r="C3" s="5" t="s">
        <v>15</v>
      </c>
      <c r="D3" s="8">
        <v>6.114866E9</v>
      </c>
      <c r="E3" s="8">
        <v>8.17824E8</v>
      </c>
      <c r="F3" s="13">
        <f t="shared" si="1"/>
        <v>5968798000</v>
      </c>
      <c r="G3" s="1" t="str">
        <f t="shared" ref="G3:G101" si="3">NA()</f>
        <v>#N/A</v>
      </c>
      <c r="H3" s="1" t="str">
        <f t="shared" si="2"/>
        <v/>
      </c>
    </row>
    <row r="4" ht="16.5" customHeight="1">
      <c r="A4" s="5" t="s">
        <v>11</v>
      </c>
      <c r="B4" s="10" t="s">
        <v>24</v>
      </c>
      <c r="C4" s="5" t="s">
        <v>15</v>
      </c>
      <c r="D4" s="8">
        <v>5.010568E9</v>
      </c>
      <c r="E4" s="8">
        <v>7.29404E8</v>
      </c>
      <c r="F4" s="13">
        <f t="shared" si="1"/>
        <v>6114866000</v>
      </c>
      <c r="G4" s="1" t="str">
        <f t="shared" si="3"/>
        <v>#N/A</v>
      </c>
      <c r="H4" s="1" t="str">
        <f t="shared" si="2"/>
        <v>#N/A</v>
      </c>
    </row>
    <row r="5" ht="16.5" customHeight="1">
      <c r="A5" s="5" t="s">
        <v>11</v>
      </c>
      <c r="B5" s="10" t="s">
        <v>34</v>
      </c>
      <c r="C5" s="5" t="s">
        <v>15</v>
      </c>
      <c r="D5" s="8">
        <v>4.782299E9</v>
      </c>
      <c r="E5" s="8">
        <v>5.26685E8</v>
      </c>
      <c r="F5" s="13">
        <f t="shared" si="1"/>
        <v>5010568000</v>
      </c>
      <c r="G5" s="1" t="str">
        <f t="shared" si="3"/>
        <v>#N/A</v>
      </c>
      <c r="H5" s="1" t="str">
        <f t="shared" si="2"/>
        <v>#N/A</v>
      </c>
    </row>
    <row r="6" ht="16.5" customHeight="1">
      <c r="A6" s="5" t="s">
        <v>11</v>
      </c>
      <c r="B6" s="10" t="s">
        <v>37</v>
      </c>
      <c r="C6" s="5" t="s">
        <v>15</v>
      </c>
      <c r="D6" s="8">
        <v>5.569535E9</v>
      </c>
      <c r="E6" s="8">
        <v>6.50895E8</v>
      </c>
      <c r="F6" s="13">
        <f t="shared" si="1"/>
        <v>4782299000</v>
      </c>
      <c r="G6" s="1" t="str">
        <f t="shared" si="3"/>
        <v>#N/A</v>
      </c>
      <c r="H6" s="1" t="str">
        <f t="shared" si="2"/>
        <v>#N/A</v>
      </c>
    </row>
    <row r="7" ht="16.5" customHeight="1">
      <c r="A7" s="5" t="s">
        <v>11</v>
      </c>
      <c r="B7" s="10" t="s">
        <v>43</v>
      </c>
      <c r="C7" s="5" t="s">
        <v>15</v>
      </c>
      <c r="D7" s="8">
        <v>6.969377E9</v>
      </c>
      <c r="E7" s="8">
        <v>9.42727E8</v>
      </c>
      <c r="F7" s="13">
        <f t="shared" si="1"/>
        <v>5569535000</v>
      </c>
      <c r="G7" s="1" t="str">
        <f t="shared" si="3"/>
        <v>#N/A</v>
      </c>
      <c r="H7" s="1" t="str">
        <f t="shared" si="2"/>
        <v>#N/A</v>
      </c>
    </row>
    <row r="8" ht="16.5" customHeight="1">
      <c r="A8" s="5" t="s">
        <v>11</v>
      </c>
      <c r="B8" s="10" t="s">
        <v>47</v>
      </c>
      <c r="C8" s="5" t="s">
        <v>15</v>
      </c>
      <c r="D8" s="8">
        <v>8.9687E9</v>
      </c>
      <c r="E8" s="8">
        <v>1.3959E9</v>
      </c>
      <c r="F8" s="13">
        <f t="shared" si="1"/>
        <v>6969377000</v>
      </c>
      <c r="G8" s="1" t="str">
        <f t="shared" si="3"/>
        <v>#N/A</v>
      </c>
      <c r="H8" s="1" t="str">
        <f t="shared" si="2"/>
        <v>#N/A</v>
      </c>
    </row>
    <row r="9" ht="16.5" customHeight="1">
      <c r="A9" s="5" t="s">
        <v>11</v>
      </c>
      <c r="B9" s="10" t="s">
        <v>48</v>
      </c>
      <c r="C9" s="5" t="s">
        <v>15</v>
      </c>
      <c r="D9" s="8">
        <v>9.73E9</v>
      </c>
      <c r="E9" s="8">
        <v>1.39933E9</v>
      </c>
      <c r="F9" s="13">
        <f t="shared" si="1"/>
        <v>8968700000</v>
      </c>
      <c r="G9" s="1" t="str">
        <f t="shared" si="3"/>
        <v>#N/A</v>
      </c>
      <c r="H9" s="1" t="str">
        <f t="shared" si="2"/>
        <v>#N/A</v>
      </c>
    </row>
    <row r="10" ht="16.5" customHeight="1">
      <c r="A10" s="5" t="s">
        <v>11</v>
      </c>
      <c r="B10" s="10" t="s">
        <v>49</v>
      </c>
      <c r="C10" s="5" t="s">
        <v>15</v>
      </c>
      <c r="D10" s="8">
        <v>1.4929E10</v>
      </c>
      <c r="E10" s="8">
        <v>1.786E9</v>
      </c>
      <c r="F10" s="13">
        <f t="shared" si="1"/>
        <v>9730000000</v>
      </c>
      <c r="G10" s="1" t="str">
        <f t="shared" si="3"/>
        <v>#N/A</v>
      </c>
      <c r="H10" s="1" t="str">
        <f t="shared" si="2"/>
        <v>#N/A</v>
      </c>
    </row>
    <row r="11" ht="16.5" customHeight="1">
      <c r="A11" s="5" t="s">
        <v>11</v>
      </c>
      <c r="B11" s="10" t="s">
        <v>50</v>
      </c>
      <c r="C11" s="5" t="s">
        <v>15</v>
      </c>
      <c r="D11" s="8">
        <v>1.9874E10</v>
      </c>
      <c r="E11" s="8">
        <v>1.3648E9</v>
      </c>
      <c r="F11" s="13">
        <f t="shared" si="1"/>
        <v>14929000000</v>
      </c>
      <c r="G11" s="1" t="str">
        <f t="shared" si="3"/>
        <v>#N/A</v>
      </c>
      <c r="H11" s="1" t="str">
        <f t="shared" si="2"/>
        <v>#N/A</v>
      </c>
    </row>
    <row r="12" ht="16.5" customHeight="1">
      <c r="A12" s="5" t="s">
        <v>11</v>
      </c>
      <c r="B12" s="10" t="s">
        <v>51</v>
      </c>
      <c r="C12" s="5" t="s">
        <v>15</v>
      </c>
      <c r="D12" s="8">
        <v>1.9872085014E10</v>
      </c>
      <c r="E12" s="8">
        <v>1.397225228E9</v>
      </c>
      <c r="F12" s="13">
        <f t="shared" si="1"/>
        <v>19874000000</v>
      </c>
      <c r="G12" s="1" t="str">
        <f t="shared" si="3"/>
        <v>#N/A</v>
      </c>
      <c r="H12" s="1" t="str">
        <f t="shared" si="2"/>
        <v>#N/A</v>
      </c>
    </row>
    <row r="13" ht="16.5" customHeight="1">
      <c r="A13" s="5" t="s">
        <v>11</v>
      </c>
      <c r="B13" s="10" t="s">
        <v>55</v>
      </c>
      <c r="C13" s="5" t="s">
        <v>15</v>
      </c>
      <c r="D13" s="8">
        <v>2.2390705001E10</v>
      </c>
      <c r="E13" s="8">
        <v>1.631547853E9</v>
      </c>
      <c r="F13" s="13">
        <f t="shared" si="1"/>
        <v>19872085014</v>
      </c>
      <c r="G13" s="1" t="str">
        <f t="shared" si="3"/>
        <v>#N/A</v>
      </c>
      <c r="H13" s="1" t="str">
        <f t="shared" si="2"/>
        <v>#N/A</v>
      </c>
    </row>
    <row r="14" ht="16.5" customHeight="1">
      <c r="A14" s="5" t="s">
        <v>11</v>
      </c>
      <c r="B14" s="10" t="s">
        <v>57</v>
      </c>
      <c r="C14" s="5" t="s">
        <v>15</v>
      </c>
      <c r="D14" s="8">
        <v>2.3892526964E10</v>
      </c>
      <c r="E14" s="8">
        <v>2.043528505E9</v>
      </c>
      <c r="F14" s="13">
        <f t="shared" si="1"/>
        <v>22390705001</v>
      </c>
      <c r="G14" s="1" t="str">
        <f t="shared" si="3"/>
        <v>#N/A</v>
      </c>
      <c r="H14" s="1" t="str">
        <f t="shared" si="2"/>
        <v>#N/A</v>
      </c>
    </row>
    <row r="15" ht="16.5" customHeight="1">
      <c r="A15" s="5" t="s">
        <v>11</v>
      </c>
      <c r="B15" s="10" t="s">
        <v>58</v>
      </c>
      <c r="C15" s="5" t="s">
        <v>15</v>
      </c>
      <c r="D15" s="8">
        <v>2.656459544E10</v>
      </c>
      <c r="E15" s="8">
        <v>1.974742959E9</v>
      </c>
      <c r="F15" s="13">
        <f t="shared" si="1"/>
        <v>23892526964</v>
      </c>
      <c r="G15" s="1" t="str">
        <f t="shared" si="3"/>
        <v>#N/A</v>
      </c>
      <c r="H15" s="1" t="str">
        <f t="shared" si="2"/>
        <v>#N/A</v>
      </c>
    </row>
    <row r="16" ht="16.5" customHeight="1">
      <c r="A16" s="5" t="s">
        <v>11</v>
      </c>
      <c r="B16" s="10" t="s">
        <v>59</v>
      </c>
      <c r="C16" s="5" t="s">
        <v>15</v>
      </c>
      <c r="D16" s="8">
        <v>2.9361131431E10</v>
      </c>
      <c r="E16" s="8">
        <v>3.067544501E9</v>
      </c>
      <c r="F16" s="13">
        <f t="shared" si="1"/>
        <v>26564595440</v>
      </c>
      <c r="G16" s="1" t="str">
        <f t="shared" si="3"/>
        <v>#N/A</v>
      </c>
      <c r="H16" s="1" t="str">
        <f t="shared" si="2"/>
        <v>#N/A</v>
      </c>
    </row>
    <row r="17" ht="16.5" customHeight="1">
      <c r="A17" s="5" t="s">
        <v>11</v>
      </c>
      <c r="B17" s="10" t="s">
        <v>60</v>
      </c>
      <c r="C17" s="5" t="s">
        <v>15</v>
      </c>
      <c r="D17" s="8">
        <v>3.2629345743E10</v>
      </c>
      <c r="E17" s="8">
        <v>1.637010676E9</v>
      </c>
      <c r="F17" s="13">
        <f t="shared" si="1"/>
        <v>29361131431</v>
      </c>
      <c r="G17" s="1" t="str">
        <f t="shared" si="3"/>
        <v>#N/A</v>
      </c>
      <c r="H17" s="1" t="str">
        <f t="shared" si="2"/>
        <v>#N/A</v>
      </c>
    </row>
    <row r="18" ht="16.5" customHeight="1">
      <c r="A18" s="5" t="s">
        <v>11</v>
      </c>
      <c r="B18" s="10" t="s">
        <v>61</v>
      </c>
      <c r="C18" s="5" t="s">
        <v>15</v>
      </c>
      <c r="D18" s="8">
        <v>3.4550856826E10</v>
      </c>
      <c r="E18" s="8">
        <v>1.344665561E9</v>
      </c>
      <c r="F18" s="13">
        <f t="shared" si="1"/>
        <v>32629345743</v>
      </c>
      <c r="G18" s="1" t="str">
        <f t="shared" si="3"/>
        <v>#N/A</v>
      </c>
      <c r="H18" s="1" t="str">
        <f t="shared" si="2"/>
        <v>#N/A</v>
      </c>
    </row>
    <row r="19" ht="16.5" customHeight="1">
      <c r="A19" s="5" t="s">
        <v>11</v>
      </c>
      <c r="B19" s="10" t="s">
        <v>62</v>
      </c>
      <c r="C19" s="5" t="s">
        <v>15</v>
      </c>
      <c r="D19" s="8">
        <v>3.2565384615E10</v>
      </c>
      <c r="E19" s="8">
        <v>1.435897435E9</v>
      </c>
      <c r="F19" s="13">
        <f t="shared" si="1"/>
        <v>34550856826</v>
      </c>
      <c r="G19" s="1" t="str">
        <f t="shared" si="3"/>
        <v>#N/A</v>
      </c>
      <c r="H19" s="1" t="str">
        <f t="shared" si="2"/>
        <v>#N/A</v>
      </c>
    </row>
    <row r="20" ht="16.5" customHeight="1">
      <c r="A20" s="5" t="s">
        <v>11</v>
      </c>
      <c r="B20" s="10" t="s">
        <v>63</v>
      </c>
      <c r="C20" s="5" t="s">
        <v>15</v>
      </c>
      <c r="D20" s="8">
        <v>3.8379144233E10</v>
      </c>
      <c r="E20" s="8">
        <v>2.136582601E9</v>
      </c>
      <c r="F20" s="13">
        <f t="shared" si="1"/>
        <v>32565384615</v>
      </c>
      <c r="G20" s="1" t="str">
        <f t="shared" si="3"/>
        <v>#N/A</v>
      </c>
      <c r="H20" s="1" t="str">
        <f t="shared" si="2"/>
        <v>#N/A</v>
      </c>
    </row>
    <row r="21" ht="16.5" customHeight="1">
      <c r="A21" s="5" t="s">
        <v>11</v>
      </c>
      <c r="B21" s="10" t="s">
        <v>64</v>
      </c>
      <c r="C21" s="5" t="s">
        <v>15</v>
      </c>
      <c r="D21" s="8">
        <v>4.1896945475E10</v>
      </c>
      <c r="E21" s="8">
        <v>5.69511846E8</v>
      </c>
      <c r="F21" s="13">
        <f t="shared" si="1"/>
        <v>38379144233</v>
      </c>
      <c r="G21" s="1" t="str">
        <f t="shared" si="3"/>
        <v>#N/A</v>
      </c>
      <c r="H21" s="1" t="str">
        <f t="shared" si="2"/>
        <v>#N/A</v>
      </c>
    </row>
    <row r="22" ht="16.5" customHeight="1">
      <c r="A22" s="5" t="s">
        <v>11</v>
      </c>
      <c r="B22" s="10" t="s">
        <v>65</v>
      </c>
      <c r="C22" s="5" t="s">
        <v>15</v>
      </c>
      <c r="D22" s="8">
        <v>3.196961828E10</v>
      </c>
      <c r="E22" s="8">
        <v>-5.13113477E9</v>
      </c>
      <c r="F22" s="13">
        <f t="shared" si="1"/>
        <v>41896945475</v>
      </c>
      <c r="G22" s="1" t="str">
        <f t="shared" si="3"/>
        <v>#N/A</v>
      </c>
      <c r="H22" s="1" t="str">
        <f t="shared" si="2"/>
        <v>#N/A</v>
      </c>
    </row>
    <row r="23" ht="16.5" customHeight="1">
      <c r="A23" s="5" t="s">
        <v>11</v>
      </c>
      <c r="B23" s="10" t="s">
        <v>66</v>
      </c>
      <c r="C23" s="5" t="s">
        <v>15</v>
      </c>
      <c r="D23" s="8">
        <v>3.6485667034E10</v>
      </c>
      <c r="E23" s="8">
        <v>2.805953693E9</v>
      </c>
      <c r="F23" s="13">
        <f t="shared" si="1"/>
        <v>31969618280</v>
      </c>
      <c r="G23" s="1" t="str">
        <f t="shared" si="3"/>
        <v>#N/A</v>
      </c>
      <c r="H23" s="1" t="str">
        <f t="shared" si="2"/>
        <v>#N/A</v>
      </c>
    </row>
    <row r="24" ht="16.5" customHeight="1">
      <c r="A24" s="5" t="s">
        <v>11</v>
      </c>
      <c r="B24" s="10" t="s">
        <v>67</v>
      </c>
      <c r="C24" s="5" t="s">
        <v>15</v>
      </c>
      <c r="D24" s="8">
        <v>8.7558671586E10</v>
      </c>
      <c r="E24" s="8">
        <v>9.704797047E9</v>
      </c>
      <c r="F24" s="13">
        <f t="shared" si="1"/>
        <v>36485667034</v>
      </c>
      <c r="G24" s="1" t="str">
        <f t="shared" si="3"/>
        <v>#N/A</v>
      </c>
      <c r="H24" s="1" t="str">
        <f t="shared" si="2"/>
        <v>#N/A</v>
      </c>
    </row>
    <row r="25" ht="16.5" customHeight="1">
      <c r="A25" s="5" t="s">
        <v>11</v>
      </c>
      <c r="B25" s="10" t="s">
        <v>68</v>
      </c>
      <c r="C25" s="5" t="s">
        <v>15</v>
      </c>
      <c r="D25" s="8">
        <v>8.0937134502E10</v>
      </c>
      <c r="E25" s="8">
        <v>2.517543859E9</v>
      </c>
      <c r="F25" s="13">
        <f t="shared" si="1"/>
        <v>87558671586</v>
      </c>
      <c r="G25" s="1" t="str">
        <f t="shared" si="3"/>
        <v>#N/A</v>
      </c>
      <c r="H25" s="1" t="str">
        <f t="shared" si="2"/>
        <v>#N/A</v>
      </c>
    </row>
    <row r="26" ht="16.5" customHeight="1">
      <c r="A26" s="5" t="s">
        <v>11</v>
      </c>
      <c r="B26" s="10" t="s">
        <v>69</v>
      </c>
      <c r="C26" s="5" t="s">
        <v>15</v>
      </c>
      <c r="D26" s="8">
        <v>9.8542705484E10</v>
      </c>
      <c r="E26" s="8">
        <v>5.864564902E9</v>
      </c>
      <c r="F26" s="13">
        <f t="shared" si="1"/>
        <v>80937134502</v>
      </c>
      <c r="G26" s="1" t="str">
        <f t="shared" si="3"/>
        <v>#N/A</v>
      </c>
      <c r="H26" s="1" t="str">
        <f t="shared" si="2"/>
        <v>#N/A</v>
      </c>
    </row>
    <row r="27" ht="16.5" customHeight="1">
      <c r="A27" s="5" t="s">
        <v>70</v>
      </c>
      <c r="B27" s="10" t="s">
        <v>12</v>
      </c>
      <c r="C27" s="5" t="s">
        <v>71</v>
      </c>
      <c r="D27" s="8">
        <v>4.6598E9</v>
      </c>
      <c r="E27" s="8">
        <v>4.868E8</v>
      </c>
      <c r="F27" s="1" t="str">
        <f t="shared" si="1"/>
        <v/>
      </c>
      <c r="G27" s="1" t="str">
        <f t="shared" si="3"/>
        <v>#N/A</v>
      </c>
      <c r="H27" s="1" t="str">
        <f t="shared" si="2"/>
        <v/>
      </c>
    </row>
    <row r="28" ht="16.5" customHeight="1">
      <c r="A28" s="5" t="s">
        <v>70</v>
      </c>
      <c r="B28" s="10" t="s">
        <v>26</v>
      </c>
      <c r="C28" s="5" t="s">
        <v>71</v>
      </c>
      <c r="D28" s="8">
        <v>5.0487E9</v>
      </c>
      <c r="E28" s="8">
        <v>4.459E8</v>
      </c>
      <c r="F28" s="13">
        <f t="shared" si="1"/>
        <v>4659800000</v>
      </c>
      <c r="G28" s="1" t="str">
        <f t="shared" si="3"/>
        <v>#N/A</v>
      </c>
      <c r="H28" s="1" t="str">
        <f t="shared" si="2"/>
        <v>#N/A</v>
      </c>
    </row>
    <row r="29" ht="16.5" customHeight="1">
      <c r="A29" s="5" t="s">
        <v>70</v>
      </c>
      <c r="B29" s="10" t="s">
        <v>24</v>
      </c>
      <c r="C29" s="5" t="s">
        <v>71</v>
      </c>
      <c r="D29" s="8">
        <v>5.3208E9</v>
      </c>
      <c r="E29" s="8">
        <v>3.221E8</v>
      </c>
      <c r="F29" s="13">
        <f t="shared" si="1"/>
        <v>5048700000</v>
      </c>
      <c r="G29" s="1" t="str">
        <f t="shared" si="3"/>
        <v>#N/A</v>
      </c>
      <c r="H29" s="1" t="str">
        <f t="shared" si="2"/>
        <v>#N/A</v>
      </c>
    </row>
    <row r="30" ht="16.5" customHeight="1">
      <c r="A30" s="5" t="s">
        <v>70</v>
      </c>
      <c r="B30" s="10" t="s">
        <v>34</v>
      </c>
      <c r="C30" s="5" t="s">
        <v>71</v>
      </c>
      <c r="D30" s="8">
        <v>5.2183E9</v>
      </c>
      <c r="E30" s="8">
        <v>2.1648E8</v>
      </c>
      <c r="F30" s="13">
        <f t="shared" si="1"/>
        <v>5320800000</v>
      </c>
      <c r="G30" s="1" t="str">
        <f t="shared" si="3"/>
        <v>#N/A</v>
      </c>
      <c r="H30" s="1" t="str">
        <f t="shared" si="2"/>
        <v>#N/A</v>
      </c>
    </row>
    <row r="31" ht="16.5" customHeight="1">
      <c r="A31" s="5" t="s">
        <v>70</v>
      </c>
      <c r="B31" s="10" t="s">
        <v>37</v>
      </c>
      <c r="C31" s="5" t="s">
        <v>71</v>
      </c>
      <c r="D31" s="8">
        <v>5.956E9</v>
      </c>
      <c r="E31" s="8">
        <v>3.139E8</v>
      </c>
      <c r="F31" s="13">
        <f t="shared" si="1"/>
        <v>5218300000</v>
      </c>
      <c r="G31" s="1" t="str">
        <f t="shared" si="3"/>
        <v>#N/A</v>
      </c>
      <c r="H31" s="1" t="str">
        <f t="shared" si="2"/>
        <v>#N/A</v>
      </c>
    </row>
    <row r="32" ht="16.5" customHeight="1">
      <c r="A32" s="5" t="s">
        <v>70</v>
      </c>
      <c r="B32" s="10" t="s">
        <v>43</v>
      </c>
      <c r="C32" s="5" t="s">
        <v>71</v>
      </c>
      <c r="D32" s="8">
        <v>6.1913E9</v>
      </c>
      <c r="E32" s="8">
        <v>6.222E8</v>
      </c>
      <c r="F32" s="13">
        <f t="shared" si="1"/>
        <v>5956000000</v>
      </c>
      <c r="G32" s="1" t="str">
        <f t="shared" si="3"/>
        <v>#N/A</v>
      </c>
      <c r="H32" s="1" t="str">
        <f t="shared" si="2"/>
        <v>#N/A</v>
      </c>
    </row>
    <row r="33" ht="16.5" customHeight="1">
      <c r="A33" s="5" t="s">
        <v>70</v>
      </c>
      <c r="B33" s="10" t="s">
        <v>47</v>
      </c>
      <c r="C33" s="5" t="s">
        <v>71</v>
      </c>
      <c r="D33" s="8">
        <v>6.9029E9</v>
      </c>
      <c r="E33" s="8">
        <v>6.526575E8</v>
      </c>
      <c r="F33" s="13">
        <f t="shared" si="1"/>
        <v>6191300000</v>
      </c>
      <c r="G33" s="1" t="str">
        <f t="shared" si="3"/>
        <v>#N/A</v>
      </c>
      <c r="H33" s="1" t="str">
        <f t="shared" si="2"/>
        <v>#N/A</v>
      </c>
    </row>
    <row r="34" ht="16.5" customHeight="1">
      <c r="A34" s="5" t="s">
        <v>70</v>
      </c>
      <c r="B34" s="10" t="s">
        <v>48</v>
      </c>
      <c r="C34" s="5" t="s">
        <v>71</v>
      </c>
      <c r="D34" s="8">
        <v>7.3202E9</v>
      </c>
      <c r="E34" s="8">
        <v>5.484E8</v>
      </c>
      <c r="F34" s="13">
        <f t="shared" si="1"/>
        <v>6902900000</v>
      </c>
      <c r="G34" s="1" t="str">
        <f t="shared" si="3"/>
        <v>#N/A</v>
      </c>
      <c r="H34" s="1" t="str">
        <f t="shared" si="2"/>
        <v>#N/A</v>
      </c>
    </row>
    <row r="35" ht="16.5" customHeight="1">
      <c r="A35" s="5" t="s">
        <v>70</v>
      </c>
      <c r="B35" s="10" t="s">
        <v>49</v>
      </c>
      <c r="C35" s="5" t="s">
        <v>71</v>
      </c>
      <c r="D35" s="8">
        <v>9.8019E9</v>
      </c>
      <c r="E35" s="8">
        <v>6.497E8</v>
      </c>
      <c r="F35" s="13">
        <f t="shared" si="1"/>
        <v>7320200000</v>
      </c>
      <c r="G35" s="1" t="str">
        <f t="shared" si="3"/>
        <v>#N/A</v>
      </c>
      <c r="H35" s="1" t="str">
        <f t="shared" si="2"/>
        <v>#N/A</v>
      </c>
    </row>
    <row r="36" ht="16.5" customHeight="1">
      <c r="A36" s="5" t="s">
        <v>70</v>
      </c>
      <c r="B36" s="10" t="s">
        <v>50</v>
      </c>
      <c r="C36" s="5" t="s">
        <v>71</v>
      </c>
      <c r="D36" s="8">
        <v>1.1361E10</v>
      </c>
      <c r="E36" s="8">
        <v>2.57E8</v>
      </c>
      <c r="F36" s="13">
        <f t="shared" si="1"/>
        <v>9801900000</v>
      </c>
      <c r="G36" s="1" t="str">
        <f t="shared" si="3"/>
        <v>#N/A</v>
      </c>
      <c r="H36" s="1" t="str">
        <f t="shared" si="2"/>
        <v>#N/A</v>
      </c>
    </row>
    <row r="37" ht="16.5" customHeight="1">
      <c r="A37" s="5" t="s">
        <v>70</v>
      </c>
      <c r="B37" s="10" t="s">
        <v>51</v>
      </c>
      <c r="C37" s="5" t="s">
        <v>71</v>
      </c>
      <c r="D37" s="8">
        <v>1.377E10</v>
      </c>
      <c r="E37" s="8">
        <v>3.74E8</v>
      </c>
      <c r="F37" s="13">
        <f t="shared" si="1"/>
        <v>11361000000</v>
      </c>
      <c r="G37" s="1" t="str">
        <f t="shared" si="3"/>
        <v>#N/A</v>
      </c>
      <c r="H37" s="1" t="str">
        <f t="shared" si="2"/>
        <v>#N/A</v>
      </c>
    </row>
    <row r="38" ht="16.5" customHeight="1">
      <c r="A38" s="5" t="s">
        <v>70</v>
      </c>
      <c r="B38" s="10" t="s">
        <v>55</v>
      </c>
      <c r="C38" s="5" t="s">
        <v>71</v>
      </c>
      <c r="D38" s="8">
        <v>1.5814E10</v>
      </c>
      <c r="E38" s="8">
        <v>4.51E8</v>
      </c>
      <c r="F38" s="13">
        <f t="shared" si="1"/>
        <v>13770000000</v>
      </c>
      <c r="G38" s="1" t="str">
        <f t="shared" si="3"/>
        <v>#N/A</v>
      </c>
      <c r="H38" s="1" t="str">
        <f t="shared" si="2"/>
        <v>#N/A</v>
      </c>
    </row>
    <row r="39" ht="16.5" customHeight="1">
      <c r="A39" s="5" t="s">
        <v>70</v>
      </c>
      <c r="B39" s="10" t="s">
        <v>57</v>
      </c>
      <c r="C39" s="5" t="s">
        <v>71</v>
      </c>
      <c r="D39" s="8">
        <v>1.7035E10</v>
      </c>
      <c r="E39" s="8">
        <v>4.31E8</v>
      </c>
      <c r="F39" s="13">
        <f t="shared" si="1"/>
        <v>15814000000</v>
      </c>
      <c r="G39" s="1" t="str">
        <f t="shared" si="3"/>
        <v>#N/A</v>
      </c>
      <c r="H39" s="1" t="str">
        <f t="shared" si="2"/>
        <v>#N/A</v>
      </c>
    </row>
    <row r="40" ht="16.5" customHeight="1">
      <c r="A40" s="5" t="s">
        <v>70</v>
      </c>
      <c r="B40" s="10" t="s">
        <v>58</v>
      </c>
      <c r="C40" s="5" t="s">
        <v>71</v>
      </c>
      <c r="D40" s="8">
        <v>2.0609E10</v>
      </c>
      <c r="E40" s="8">
        <v>5.04E8</v>
      </c>
      <c r="F40" s="13">
        <f t="shared" si="1"/>
        <v>17035000000</v>
      </c>
      <c r="G40" s="1" t="str">
        <f t="shared" si="3"/>
        <v>#N/A</v>
      </c>
      <c r="H40" s="1" t="str">
        <f t="shared" si="2"/>
        <v>#N/A</v>
      </c>
    </row>
    <row r="41" ht="16.5" customHeight="1">
      <c r="A41" s="5" t="s">
        <v>70</v>
      </c>
      <c r="B41" s="10" t="s">
        <v>59</v>
      </c>
      <c r="C41" s="5" t="s">
        <v>71</v>
      </c>
      <c r="D41" s="8">
        <v>2.2345E10</v>
      </c>
      <c r="E41" s="8">
        <v>5.33E8</v>
      </c>
      <c r="F41" s="13">
        <f t="shared" si="1"/>
        <v>20609000000</v>
      </c>
      <c r="G41" s="1" t="str">
        <f t="shared" si="3"/>
        <v>#N/A</v>
      </c>
      <c r="H41" s="1" t="str">
        <f t="shared" si="2"/>
        <v>#N/A</v>
      </c>
    </row>
    <row r="42" ht="16.5" customHeight="1">
      <c r="A42" s="5" t="s">
        <v>70</v>
      </c>
      <c r="B42" s="10" t="s">
        <v>60</v>
      </c>
      <c r="C42" s="5" t="s">
        <v>71</v>
      </c>
      <c r="D42" s="8">
        <v>2.2576E10</v>
      </c>
      <c r="E42" s="8">
        <v>-5.446E9</v>
      </c>
      <c r="F42" s="13">
        <f t="shared" si="1"/>
        <v>22345000000</v>
      </c>
      <c r="G42" s="1" t="str">
        <f t="shared" si="3"/>
        <v>#N/A</v>
      </c>
      <c r="H42" s="1" t="str">
        <f t="shared" si="2"/>
        <v>#N/A</v>
      </c>
    </row>
    <row r="43" ht="16.5" customHeight="1">
      <c r="A43" s="5" t="s">
        <v>70</v>
      </c>
      <c r="B43" s="10" t="s">
        <v>61</v>
      </c>
      <c r="C43" s="5" t="s">
        <v>71</v>
      </c>
      <c r="D43" s="8">
        <v>2.1091763405E10</v>
      </c>
      <c r="E43" s="8">
        <v>-1.453841901E9</v>
      </c>
      <c r="F43" s="13">
        <f t="shared" si="1"/>
        <v>22576000000</v>
      </c>
      <c r="G43" s="1" t="str">
        <f t="shared" si="3"/>
        <v>#N/A</v>
      </c>
      <c r="H43" s="1" t="str">
        <f t="shared" si="2"/>
        <v>#N/A</v>
      </c>
    </row>
    <row r="44" ht="16.5" customHeight="1">
      <c r="A44" s="5" t="s">
        <v>70</v>
      </c>
      <c r="B44" s="10" t="s">
        <v>62</v>
      </c>
      <c r="C44" s="5" t="s">
        <v>71</v>
      </c>
      <c r="D44" s="8">
        <v>1.7571794871E10</v>
      </c>
      <c r="E44" s="8">
        <v>-4.58974358E8</v>
      </c>
      <c r="F44" s="13">
        <f t="shared" si="1"/>
        <v>21091763405</v>
      </c>
      <c r="G44" s="1" t="str">
        <f t="shared" si="3"/>
        <v>#N/A</v>
      </c>
      <c r="H44" s="1" t="str">
        <f t="shared" si="2"/>
        <v>#N/A</v>
      </c>
    </row>
    <row r="45" ht="16.5" customHeight="1">
      <c r="A45" s="5" t="s">
        <v>70</v>
      </c>
      <c r="B45" s="10" t="s">
        <v>63</v>
      </c>
      <c r="C45" s="5" t="s">
        <v>71</v>
      </c>
      <c r="D45" s="8">
        <v>2.4275998866E10</v>
      </c>
      <c r="E45" s="8">
        <v>8.82686313E8</v>
      </c>
      <c r="F45" s="13">
        <f t="shared" si="1"/>
        <v>17571794871</v>
      </c>
      <c r="G45" s="1" t="str">
        <f t="shared" si="3"/>
        <v>#N/A</v>
      </c>
      <c r="H45" s="1" t="str">
        <f t="shared" si="2"/>
        <v>#N/A</v>
      </c>
    </row>
    <row r="46" ht="16.5" customHeight="1">
      <c r="A46" s="5" t="s">
        <v>70</v>
      </c>
      <c r="B46" s="10" t="s">
        <v>64</v>
      </c>
      <c r="C46" s="5" t="s">
        <v>71</v>
      </c>
      <c r="D46" s="8">
        <v>2.3564087924E10</v>
      </c>
      <c r="E46" s="8">
        <v>9.22066799E8</v>
      </c>
      <c r="F46" s="13">
        <f t="shared" si="1"/>
        <v>24275998866</v>
      </c>
      <c r="G46" s="1" t="str">
        <f t="shared" si="3"/>
        <v>#N/A</v>
      </c>
      <c r="H46" s="1" t="str">
        <f t="shared" si="2"/>
        <v>#N/A</v>
      </c>
    </row>
    <row r="47" ht="16.5" customHeight="1">
      <c r="A47" s="5" t="s">
        <v>70</v>
      </c>
      <c r="B47" s="10" t="s">
        <v>65</v>
      </c>
      <c r="C47" s="5" t="s">
        <v>71</v>
      </c>
      <c r="D47" s="8">
        <v>2.2923915866E10</v>
      </c>
      <c r="E47" s="8">
        <v>-3.25889379E8</v>
      </c>
      <c r="F47" s="13">
        <f t="shared" si="1"/>
        <v>23564087924</v>
      </c>
      <c r="G47" s="1" t="str">
        <f t="shared" si="3"/>
        <v>#N/A</v>
      </c>
      <c r="H47" s="1" t="str">
        <f t="shared" si="2"/>
        <v>#N/A</v>
      </c>
    </row>
    <row r="48" ht="16.5" customHeight="1">
      <c r="A48" s="5" t="s">
        <v>70</v>
      </c>
      <c r="B48" s="10" t="s">
        <v>66</v>
      </c>
      <c r="C48" s="5" t="s">
        <v>71</v>
      </c>
      <c r="D48" s="8">
        <v>4.1357497243E10</v>
      </c>
      <c r="E48" s="8">
        <v>1.062568908E9</v>
      </c>
      <c r="F48" s="13">
        <f t="shared" si="1"/>
        <v>22923915866</v>
      </c>
      <c r="G48" s="1" t="str">
        <f t="shared" si="3"/>
        <v>#N/A</v>
      </c>
      <c r="H48" s="1" t="str">
        <f t="shared" si="2"/>
        <v>#N/A</v>
      </c>
    </row>
    <row r="49" ht="16.5" customHeight="1">
      <c r="A49" s="5" t="s">
        <v>70</v>
      </c>
      <c r="B49" s="10" t="s">
        <v>67</v>
      </c>
      <c r="C49" s="5" t="s">
        <v>71</v>
      </c>
      <c r="D49" s="8">
        <v>4.2591881918E10</v>
      </c>
      <c r="E49" s="8">
        <v>3.371217712E9</v>
      </c>
      <c r="F49" s="13">
        <f t="shared" si="1"/>
        <v>41357497243</v>
      </c>
      <c r="G49" s="1" t="str">
        <f t="shared" si="3"/>
        <v>#N/A</v>
      </c>
      <c r="H49" s="1" t="str">
        <f t="shared" si="2"/>
        <v>#N/A</v>
      </c>
    </row>
    <row r="50" ht="16.5" customHeight="1">
      <c r="A50" s="5" t="s">
        <v>70</v>
      </c>
      <c r="B50" s="10" t="s">
        <v>68</v>
      </c>
      <c r="C50" s="5" t="s">
        <v>71</v>
      </c>
      <c r="D50" s="8">
        <v>4.3502923976E10</v>
      </c>
      <c r="E50" s="8">
        <v>2.049707602E9</v>
      </c>
      <c r="F50" s="13">
        <f t="shared" si="1"/>
        <v>42591881918</v>
      </c>
      <c r="G50" s="1" t="str">
        <f t="shared" si="3"/>
        <v>#N/A</v>
      </c>
      <c r="H50" s="1" t="str">
        <f t="shared" si="2"/>
        <v>#N/A</v>
      </c>
    </row>
    <row r="51" ht="16.5" customHeight="1">
      <c r="A51" s="5" t="s">
        <v>70</v>
      </c>
      <c r="B51" s="10" t="s">
        <v>69</v>
      </c>
      <c r="C51" s="5" t="s">
        <v>71</v>
      </c>
      <c r="D51" s="8">
        <v>4.7664468393E10</v>
      </c>
      <c r="E51" s="8">
        <v>1.870677175E9</v>
      </c>
      <c r="F51" s="13">
        <f t="shared" si="1"/>
        <v>43502923976</v>
      </c>
      <c r="G51" s="1" t="str">
        <f t="shared" si="3"/>
        <v>#N/A</v>
      </c>
      <c r="H51" s="1" t="str">
        <f t="shared" si="2"/>
        <v>#N/A</v>
      </c>
    </row>
    <row r="52" ht="16.5" customHeight="1">
      <c r="A52" s="5" t="s">
        <v>72</v>
      </c>
      <c r="B52" s="10" t="s">
        <v>12</v>
      </c>
      <c r="C52" s="5" t="s">
        <v>73</v>
      </c>
      <c r="D52" s="8">
        <v>2.7669E7</v>
      </c>
      <c r="E52" s="8">
        <v>2440000.0</v>
      </c>
      <c r="F52" s="1" t="str">
        <f t="shared" si="1"/>
        <v/>
      </c>
      <c r="G52" s="1" t="str">
        <f t="shared" si="3"/>
        <v>#N/A</v>
      </c>
      <c r="H52" s="1" t="str">
        <f t="shared" si="2"/>
        <v/>
      </c>
    </row>
    <row r="53" ht="16.5" customHeight="1">
      <c r="A53" s="5" t="s">
        <v>72</v>
      </c>
      <c r="B53" s="10" t="s">
        <v>26</v>
      </c>
      <c r="C53" s="5" t="s">
        <v>73</v>
      </c>
      <c r="D53" s="8">
        <v>3.2348E7</v>
      </c>
      <c r="E53" s="8">
        <v>3614000.0</v>
      </c>
      <c r="F53" s="13">
        <f t="shared" si="1"/>
        <v>27669000</v>
      </c>
      <c r="G53" s="1" t="str">
        <f t="shared" si="3"/>
        <v>#N/A</v>
      </c>
      <c r="H53" s="1" t="str">
        <f t="shared" si="2"/>
        <v>#N/A</v>
      </c>
    </row>
    <row r="54" ht="16.5" customHeight="1">
      <c r="A54" s="5" t="s">
        <v>72</v>
      </c>
      <c r="B54" s="10" t="s">
        <v>24</v>
      </c>
      <c r="C54" s="5" t="s">
        <v>73</v>
      </c>
      <c r="D54" s="8">
        <v>5.8399E7</v>
      </c>
      <c r="E54" s="8">
        <v>2863000.0</v>
      </c>
      <c r="F54" s="13">
        <f t="shared" si="1"/>
        <v>32348000</v>
      </c>
      <c r="G54" s="1" t="str">
        <f t="shared" si="3"/>
        <v>#N/A</v>
      </c>
      <c r="H54" s="1" t="str">
        <f t="shared" si="2"/>
        <v>#N/A</v>
      </c>
    </row>
    <row r="55" ht="16.5" customHeight="1">
      <c r="A55" s="5" t="s">
        <v>72</v>
      </c>
      <c r="B55" s="10" t="s">
        <v>34</v>
      </c>
      <c r="C55" s="5" t="s">
        <v>73</v>
      </c>
      <c r="D55" s="8">
        <v>7.1055E7</v>
      </c>
      <c r="E55" s="8">
        <v>7895000.0</v>
      </c>
      <c r="F55" s="13">
        <f t="shared" si="1"/>
        <v>58399000</v>
      </c>
      <c r="G55" s="1" t="str">
        <f t="shared" si="3"/>
        <v>#N/A</v>
      </c>
      <c r="H55" s="1" t="str">
        <f t="shared" si="2"/>
        <v>#N/A</v>
      </c>
    </row>
    <row r="56" ht="16.5" customHeight="1">
      <c r="A56" s="5" t="s">
        <v>72</v>
      </c>
      <c r="B56" s="10" t="s">
        <v>37</v>
      </c>
      <c r="C56" s="5" t="s">
        <v>73</v>
      </c>
      <c r="D56" s="8">
        <v>1.17969E8</v>
      </c>
      <c r="E56" s="8">
        <v>9044000.0</v>
      </c>
      <c r="F56" s="13">
        <f t="shared" si="1"/>
        <v>71055000</v>
      </c>
      <c r="G56" s="1" t="str">
        <f t="shared" si="3"/>
        <v>#N/A</v>
      </c>
      <c r="H56" s="1" t="str">
        <f t="shared" si="2"/>
        <v>#N/A</v>
      </c>
    </row>
    <row r="57" ht="16.5" customHeight="1">
      <c r="A57" s="5" t="s">
        <v>72</v>
      </c>
      <c r="B57" s="10" t="s">
        <v>43</v>
      </c>
      <c r="C57" s="5" t="s">
        <v>73</v>
      </c>
      <c r="D57" s="8">
        <v>1.61234E8</v>
      </c>
      <c r="E57" s="8">
        <v>1.9909E7</v>
      </c>
      <c r="F57" s="13">
        <f t="shared" si="1"/>
        <v>117969000</v>
      </c>
      <c r="G57" s="1" t="str">
        <f t="shared" si="3"/>
        <v>#N/A</v>
      </c>
      <c r="H57" s="1" t="str">
        <f t="shared" si="2"/>
        <v>#N/A</v>
      </c>
    </row>
    <row r="58" ht="16.5" customHeight="1">
      <c r="A58" s="5" t="s">
        <v>72</v>
      </c>
      <c r="B58" s="10" t="s">
        <v>47</v>
      </c>
      <c r="C58" s="5" t="s">
        <v>73</v>
      </c>
      <c r="D58" s="8">
        <v>3.84995E8</v>
      </c>
      <c r="E58" s="8">
        <v>1.5956E7</v>
      </c>
      <c r="F58" s="13">
        <f t="shared" si="1"/>
        <v>161234000</v>
      </c>
      <c r="G58" s="1" t="str">
        <f t="shared" si="3"/>
        <v>#N/A</v>
      </c>
      <c r="H58" s="1" t="str">
        <f t="shared" si="2"/>
        <v>#N/A</v>
      </c>
    </row>
    <row r="59" ht="16.5" customHeight="1">
      <c r="A59" s="5" t="s">
        <v>72</v>
      </c>
      <c r="B59" s="10" t="s">
        <v>48</v>
      </c>
      <c r="C59" s="5" t="s">
        <v>73</v>
      </c>
      <c r="D59" s="8">
        <v>1.438427E9</v>
      </c>
      <c r="E59" s="8">
        <v>1.9296E7</v>
      </c>
      <c r="F59" s="13">
        <f t="shared" si="1"/>
        <v>384995000</v>
      </c>
      <c r="G59" s="1" t="str">
        <f t="shared" si="3"/>
        <v>#N/A</v>
      </c>
      <c r="H59" s="1" t="str">
        <f t="shared" si="2"/>
        <v>#N/A</v>
      </c>
    </row>
    <row r="60" ht="16.5" customHeight="1">
      <c r="A60" s="5" t="s">
        <v>72</v>
      </c>
      <c r="B60" s="10" t="s">
        <v>49</v>
      </c>
      <c r="C60" s="5" t="s">
        <v>73</v>
      </c>
      <c r="D60" s="8">
        <v>1.733818E9</v>
      </c>
      <c r="E60" s="8">
        <v>7.23322E7</v>
      </c>
      <c r="F60" s="13">
        <f t="shared" si="1"/>
        <v>1438427000</v>
      </c>
      <c r="G60" s="1" t="str">
        <f t="shared" si="3"/>
        <v>#N/A</v>
      </c>
      <c r="H60" s="1" t="str">
        <f t="shared" si="2"/>
        <v>#N/A</v>
      </c>
    </row>
    <row r="61" ht="16.5" customHeight="1">
      <c r="A61" s="5" t="s">
        <v>72</v>
      </c>
      <c r="B61" s="10" t="s">
        <v>50</v>
      </c>
      <c r="C61" s="5" t="s">
        <v>73</v>
      </c>
      <c r="D61" s="8">
        <v>1.704776E9</v>
      </c>
      <c r="E61" s="8">
        <v>4.6582E7</v>
      </c>
      <c r="F61" s="13">
        <f t="shared" si="1"/>
        <v>1733818000</v>
      </c>
      <c r="G61" s="1" t="str">
        <f t="shared" si="3"/>
        <v>#N/A</v>
      </c>
      <c r="H61" s="1" t="str">
        <f t="shared" si="2"/>
        <v>#N/A</v>
      </c>
    </row>
    <row r="62" ht="16.5" customHeight="1">
      <c r="A62" s="5" t="s">
        <v>72</v>
      </c>
      <c r="B62" s="10" t="s">
        <v>51</v>
      </c>
      <c r="C62" s="5" t="s">
        <v>73</v>
      </c>
      <c r="D62" s="8">
        <v>2.2509E9</v>
      </c>
      <c r="E62" s="8">
        <v>-2.6402E7</v>
      </c>
      <c r="F62" s="13">
        <f t="shared" si="1"/>
        <v>1704776000</v>
      </c>
      <c r="G62" s="1" t="str">
        <f t="shared" si="3"/>
        <v>#N/A</v>
      </c>
      <c r="H62" s="1" t="str">
        <f t="shared" si="2"/>
        <v>#N/A</v>
      </c>
    </row>
    <row r="63" ht="16.5" customHeight="1">
      <c r="A63" s="5" t="s">
        <v>72</v>
      </c>
      <c r="B63" s="10" t="s">
        <v>55</v>
      </c>
      <c r="C63" s="5" t="s">
        <v>73</v>
      </c>
      <c r="D63" s="8">
        <v>1.587834E9</v>
      </c>
      <c r="E63" s="8">
        <v>6.5436E7</v>
      </c>
      <c r="F63" s="13">
        <f t="shared" si="1"/>
        <v>2250900000</v>
      </c>
      <c r="G63" s="1" t="str">
        <f t="shared" si="3"/>
        <v>#N/A</v>
      </c>
      <c r="H63" s="1" t="str">
        <f t="shared" si="2"/>
        <v>#N/A</v>
      </c>
    </row>
    <row r="64" ht="16.5" customHeight="1">
      <c r="A64" s="5" t="s">
        <v>72</v>
      </c>
      <c r="B64" s="10" t="s">
        <v>57</v>
      </c>
      <c r="C64" s="5" t="s">
        <v>73</v>
      </c>
      <c r="D64" s="8">
        <v>2.148193E9</v>
      </c>
      <c r="E64" s="8">
        <v>1.22059E8</v>
      </c>
      <c r="F64" s="13">
        <f t="shared" si="1"/>
        <v>1587834000</v>
      </c>
      <c r="G64" s="1" t="str">
        <f t="shared" si="3"/>
        <v>#N/A</v>
      </c>
      <c r="H64" s="1" t="str">
        <f t="shared" si="2"/>
        <v>#N/A</v>
      </c>
    </row>
    <row r="65" ht="16.5" customHeight="1">
      <c r="A65" s="5" t="s">
        <v>72</v>
      </c>
      <c r="B65" s="10" t="s">
        <v>58</v>
      </c>
      <c r="C65" s="5" t="s">
        <v>73</v>
      </c>
      <c r="D65" s="8">
        <v>2.404788E9</v>
      </c>
      <c r="E65" s="8">
        <v>1.93882E8</v>
      </c>
      <c r="F65" s="13">
        <f t="shared" si="1"/>
        <v>2148193000</v>
      </c>
      <c r="G65" s="1" t="str">
        <f t="shared" si="3"/>
        <v>#N/A</v>
      </c>
      <c r="H65" s="1" t="str">
        <f t="shared" si="2"/>
        <v>#N/A</v>
      </c>
    </row>
    <row r="66" ht="16.5" customHeight="1">
      <c r="A66" s="5" t="s">
        <v>72</v>
      </c>
      <c r="B66" s="10" t="s">
        <v>59</v>
      </c>
      <c r="C66" s="5" t="s">
        <v>73</v>
      </c>
      <c r="D66" s="8">
        <v>2.654652E9</v>
      </c>
      <c r="E66" s="8">
        <v>2.5922E8</v>
      </c>
      <c r="F66" s="13">
        <f t="shared" si="1"/>
        <v>2404788000</v>
      </c>
      <c r="G66" s="1" t="str">
        <f t="shared" si="3"/>
        <v>#N/A</v>
      </c>
      <c r="H66" s="1" t="str">
        <f t="shared" si="2"/>
        <v>#N/A</v>
      </c>
    </row>
    <row r="67" ht="16.5" customHeight="1">
      <c r="A67" s="5" t="s">
        <v>72</v>
      </c>
      <c r="B67" s="10" t="s">
        <v>60</v>
      </c>
      <c r="C67" s="5" t="s">
        <v>73</v>
      </c>
      <c r="D67" s="8">
        <v>1.8364E9</v>
      </c>
      <c r="E67" s="8">
        <v>-2.7E8</v>
      </c>
      <c r="F67" s="13">
        <f t="shared" si="1"/>
        <v>2654652000</v>
      </c>
      <c r="G67" s="1" t="str">
        <f t="shared" si="3"/>
        <v>#N/A</v>
      </c>
      <c r="H67" s="1" t="str">
        <f t="shared" si="2"/>
        <v>#N/A</v>
      </c>
    </row>
    <row r="68" ht="16.5" customHeight="1">
      <c r="A68" s="5" t="s">
        <v>72</v>
      </c>
      <c r="B68" s="10" t="s">
        <v>61</v>
      </c>
      <c r="C68" s="5" t="s">
        <v>73</v>
      </c>
      <c r="D68" s="8">
        <v>1.6255E9</v>
      </c>
      <c r="E68" s="8">
        <v>-5.184E8</v>
      </c>
      <c r="F68" s="13">
        <f t="shared" si="1"/>
        <v>1836400000</v>
      </c>
      <c r="G68" s="1" t="str">
        <f t="shared" si="3"/>
        <v>#N/A</v>
      </c>
      <c r="H68" s="1" t="str">
        <f t="shared" si="2"/>
        <v>#N/A</v>
      </c>
    </row>
    <row r="69" ht="16.5" customHeight="1">
      <c r="A69" s="5" t="s">
        <v>72</v>
      </c>
      <c r="B69" s="10" t="s">
        <v>62</v>
      </c>
      <c r="C69" s="5" t="s">
        <v>73</v>
      </c>
      <c r="D69" s="8">
        <v>1.8931E9</v>
      </c>
      <c r="E69" s="8">
        <v>3.212E8</v>
      </c>
      <c r="F69" s="13">
        <f t="shared" si="1"/>
        <v>1625500000</v>
      </c>
      <c r="G69" s="1" t="str">
        <f t="shared" si="3"/>
        <v>#N/A</v>
      </c>
      <c r="H69" s="1" t="str">
        <f t="shared" si="2"/>
        <v>#N/A</v>
      </c>
    </row>
    <row r="70" ht="16.5" customHeight="1">
      <c r="A70" s="5" t="s">
        <v>72</v>
      </c>
      <c r="B70" s="10" t="s">
        <v>63</v>
      </c>
      <c r="C70" s="5" t="s">
        <v>73</v>
      </c>
      <c r="D70" s="8">
        <v>4.0768E9</v>
      </c>
      <c r="E70" s="8">
        <v>2.514E8</v>
      </c>
      <c r="F70" s="13">
        <f t="shared" si="1"/>
        <v>1893100000</v>
      </c>
      <c r="G70" s="1" t="str">
        <f t="shared" si="3"/>
        <v>#N/A</v>
      </c>
      <c r="H70" s="1" t="str">
        <f t="shared" si="2"/>
        <v>#N/A</v>
      </c>
    </row>
    <row r="71" ht="16.5" customHeight="1">
      <c r="A71" s="5" t="s">
        <v>72</v>
      </c>
      <c r="B71" s="10" t="s">
        <v>64</v>
      </c>
      <c r="C71" s="5" t="s">
        <v>73</v>
      </c>
      <c r="D71" s="8">
        <v>3.9139E9</v>
      </c>
      <c r="E71" s="8">
        <v>5.789E8</v>
      </c>
      <c r="F71" s="13">
        <f t="shared" si="1"/>
        <v>4076800000</v>
      </c>
      <c r="G71" s="1" t="str">
        <f t="shared" si="3"/>
        <v>#N/A</v>
      </c>
      <c r="H71" s="1" t="str">
        <f t="shared" si="2"/>
        <v>#N/A</v>
      </c>
    </row>
    <row r="72" ht="16.5" customHeight="1">
      <c r="A72" s="5" t="s">
        <v>72</v>
      </c>
      <c r="B72" s="10" t="s">
        <v>65</v>
      </c>
      <c r="C72" s="5" t="s">
        <v>73</v>
      </c>
      <c r="D72" s="8">
        <v>4.2152E9</v>
      </c>
      <c r="E72" s="8">
        <v>4.832E8</v>
      </c>
      <c r="F72" s="13">
        <f t="shared" si="1"/>
        <v>3913900000</v>
      </c>
      <c r="G72" s="1" t="str">
        <f t="shared" si="3"/>
        <v>#N/A</v>
      </c>
      <c r="H72" s="1" t="str">
        <f t="shared" si="2"/>
        <v>#N/A</v>
      </c>
    </row>
    <row r="73" ht="16.5" customHeight="1">
      <c r="A73" s="5" t="s">
        <v>72</v>
      </c>
      <c r="B73" s="10" t="s">
        <v>66</v>
      </c>
      <c r="C73" s="5" t="s">
        <v>73</v>
      </c>
      <c r="D73" s="8">
        <v>4.6792E9</v>
      </c>
      <c r="E73" s="8">
        <v>3.067E8</v>
      </c>
      <c r="F73" s="13">
        <f t="shared" si="1"/>
        <v>4215200000</v>
      </c>
      <c r="G73" s="1" t="str">
        <f t="shared" si="3"/>
        <v>#N/A</v>
      </c>
      <c r="H73" s="1" t="str">
        <f t="shared" si="2"/>
        <v>#N/A</v>
      </c>
    </row>
    <row r="74" ht="16.5" customHeight="1">
      <c r="A74" s="5" t="s">
        <v>72</v>
      </c>
      <c r="B74" s="10" t="s">
        <v>67</v>
      </c>
      <c r="C74" s="5" t="s">
        <v>73</v>
      </c>
      <c r="D74" s="8">
        <v>5.1021E9</v>
      </c>
      <c r="E74" s="8">
        <v>5.036E8</v>
      </c>
      <c r="F74" s="13">
        <f t="shared" si="1"/>
        <v>4679200000</v>
      </c>
      <c r="G74" s="1" t="str">
        <f t="shared" si="3"/>
        <v>#N/A</v>
      </c>
      <c r="H74" s="1" t="str">
        <f t="shared" si="2"/>
        <v>#N/A</v>
      </c>
    </row>
    <row r="75" ht="16.5" customHeight="1">
      <c r="A75" s="5" t="s">
        <v>72</v>
      </c>
      <c r="B75" s="10" t="s">
        <v>68</v>
      </c>
      <c r="C75" s="5" t="s">
        <v>73</v>
      </c>
      <c r="D75" s="8">
        <v>5.8949E9</v>
      </c>
      <c r="E75" s="8">
        <v>3.83E8</v>
      </c>
      <c r="F75" s="13">
        <f t="shared" si="1"/>
        <v>5102100000</v>
      </c>
      <c r="G75" s="1" t="str">
        <f t="shared" si="3"/>
        <v>#N/A</v>
      </c>
      <c r="H75" s="1" t="str">
        <f t="shared" si="2"/>
        <v>#N/A</v>
      </c>
    </row>
    <row r="76" ht="16.5" customHeight="1">
      <c r="A76" s="5" t="s">
        <v>72</v>
      </c>
      <c r="B76" s="10" t="s">
        <v>69</v>
      </c>
      <c r="C76" s="5" t="s">
        <v>73</v>
      </c>
      <c r="D76" s="8">
        <v>5.4992E9</v>
      </c>
      <c r="E76" s="8">
        <v>-4.483E8</v>
      </c>
      <c r="F76" s="13">
        <f t="shared" si="1"/>
        <v>5894900000</v>
      </c>
      <c r="G76" s="1" t="str">
        <f t="shared" si="3"/>
        <v>#N/A</v>
      </c>
      <c r="H76" s="1" t="str">
        <f t="shared" si="2"/>
        <v>#N/A</v>
      </c>
    </row>
    <row r="77" ht="16.5" customHeight="1">
      <c r="A77" s="5" t="s">
        <v>74</v>
      </c>
      <c r="B77" s="10" t="s">
        <v>12</v>
      </c>
      <c r="C77" s="5" t="s">
        <v>75</v>
      </c>
      <c r="D77" s="8">
        <v>2.231251E9</v>
      </c>
      <c r="E77" s="8">
        <v>2.79376E8</v>
      </c>
      <c r="F77" s="1" t="str">
        <f t="shared" si="1"/>
        <v/>
      </c>
      <c r="G77" s="1" t="str">
        <f t="shared" si="3"/>
        <v>#N/A</v>
      </c>
      <c r="H77" s="1" t="str">
        <f t="shared" si="2"/>
        <v/>
      </c>
    </row>
    <row r="78" ht="16.5" customHeight="1">
      <c r="A78" s="5" t="s">
        <v>74</v>
      </c>
      <c r="B78" s="10" t="s">
        <v>26</v>
      </c>
      <c r="C78" s="5" t="s">
        <v>75</v>
      </c>
      <c r="D78" s="8">
        <v>2.828826E9</v>
      </c>
      <c r="E78" s="8">
        <v>1.03629E8</v>
      </c>
      <c r="F78" s="13">
        <f t="shared" si="1"/>
        <v>2231251000</v>
      </c>
      <c r="G78" s="1" t="str">
        <f t="shared" si="3"/>
        <v>#N/A</v>
      </c>
      <c r="H78" s="1" t="str">
        <f t="shared" si="2"/>
        <v>#N/A</v>
      </c>
    </row>
    <row r="79" ht="16.5" customHeight="1">
      <c r="A79" s="5" t="s">
        <v>74</v>
      </c>
      <c r="B79" s="10" t="s">
        <v>24</v>
      </c>
      <c r="C79" s="5" t="s">
        <v>75</v>
      </c>
      <c r="D79" s="8">
        <v>2.957934E9</v>
      </c>
      <c r="E79" s="8">
        <v>1.336E8</v>
      </c>
      <c r="F79" s="13">
        <f t="shared" si="1"/>
        <v>2828826000</v>
      </c>
      <c r="G79" s="1" t="str">
        <f t="shared" si="3"/>
        <v>#N/A</v>
      </c>
      <c r="H79" s="1" t="str">
        <f t="shared" si="2"/>
        <v>#N/A</v>
      </c>
    </row>
    <row r="80" ht="16.5" customHeight="1">
      <c r="A80" s="5" t="s">
        <v>74</v>
      </c>
      <c r="B80" s="10" t="s">
        <v>34</v>
      </c>
      <c r="C80" s="5" t="s">
        <v>75</v>
      </c>
      <c r="D80" s="8">
        <v>3.408741E9</v>
      </c>
      <c r="E80" s="8">
        <v>1.66303E8</v>
      </c>
      <c r="F80" s="13">
        <f t="shared" si="1"/>
        <v>2957934000</v>
      </c>
      <c r="G80" s="1" t="str">
        <f t="shared" si="3"/>
        <v>#N/A</v>
      </c>
      <c r="H80" s="1" t="str">
        <f t="shared" si="2"/>
        <v>#N/A</v>
      </c>
    </row>
    <row r="81" ht="16.5" customHeight="1">
      <c r="A81" s="5" t="s">
        <v>74</v>
      </c>
      <c r="B81" s="10" t="s">
        <v>37</v>
      </c>
      <c r="C81" s="5" t="s">
        <v>75</v>
      </c>
      <c r="D81" s="8">
        <v>3.707346E9</v>
      </c>
      <c r="E81" s="8">
        <v>1.8809E8</v>
      </c>
      <c r="F81" s="13">
        <f t="shared" si="1"/>
        <v>3408741000</v>
      </c>
      <c r="G81" s="1" t="str">
        <f t="shared" si="3"/>
        <v>#N/A</v>
      </c>
      <c r="H81" s="1" t="str">
        <f t="shared" si="2"/>
        <v>#N/A</v>
      </c>
    </row>
    <row r="82" ht="16.5" customHeight="1">
      <c r="A82" s="5" t="s">
        <v>74</v>
      </c>
      <c r="B82" s="10">
        <v>2005.0</v>
      </c>
      <c r="C82" s="5" t="s">
        <v>75</v>
      </c>
      <c r="D82" s="8">
        <v>8.014663E9</v>
      </c>
      <c r="E82" s="8">
        <v>3.25671E8</v>
      </c>
      <c r="F82" s="13">
        <f t="shared" si="1"/>
        <v>3707346000</v>
      </c>
      <c r="G82" s="1" t="str">
        <f t="shared" si="3"/>
        <v>#N/A</v>
      </c>
      <c r="H82" s="1" t="str">
        <f t="shared" si="2"/>
        <v>#N/A</v>
      </c>
    </row>
    <row r="83" ht="16.5" customHeight="1">
      <c r="A83" s="5" t="s">
        <v>74</v>
      </c>
      <c r="B83" s="10">
        <v>2006.0</v>
      </c>
      <c r="C83" s="5" t="s">
        <v>75</v>
      </c>
      <c r="D83" s="8">
        <v>8.664927E9</v>
      </c>
      <c r="E83" s="8">
        <v>4.288098E8</v>
      </c>
      <c r="F83" s="13">
        <f t="shared" si="1"/>
        <v>8014663000</v>
      </c>
      <c r="G83" s="1" t="str">
        <f t="shared" si="3"/>
        <v>#N/A</v>
      </c>
      <c r="H83" s="1" t="str">
        <f t="shared" si="2"/>
        <v>#N/A</v>
      </c>
    </row>
    <row r="84" ht="16.5" customHeight="1">
      <c r="A84" s="5" t="s">
        <v>74</v>
      </c>
      <c r="B84" s="10">
        <v>2007.0</v>
      </c>
      <c r="C84" s="5" t="s">
        <v>75</v>
      </c>
      <c r="D84" s="8">
        <v>1.4782277E10</v>
      </c>
      <c r="E84" s="8">
        <v>3.75484E8</v>
      </c>
      <c r="F84" s="13">
        <f t="shared" si="1"/>
        <v>8664927000</v>
      </c>
      <c r="G84" s="1" t="str">
        <f t="shared" si="3"/>
        <v>#N/A</v>
      </c>
      <c r="H84" s="1" t="str">
        <f t="shared" si="2"/>
        <v>#N/A</v>
      </c>
    </row>
    <row r="85" ht="16.5" customHeight="1">
      <c r="A85" s="5" t="s">
        <v>74</v>
      </c>
      <c r="B85" s="10">
        <v>2008.0</v>
      </c>
      <c r="C85" s="5" t="s">
        <v>75</v>
      </c>
      <c r="D85" s="8">
        <v>1.2583497E10</v>
      </c>
      <c r="E85" s="8">
        <v>6.29014E8</v>
      </c>
      <c r="F85" s="13">
        <f t="shared" si="1"/>
        <v>14782277000</v>
      </c>
      <c r="G85" s="1" t="str">
        <f t="shared" si="3"/>
        <v>#N/A</v>
      </c>
      <c r="H85" s="1" t="str">
        <f t="shared" si="2"/>
        <v>#N/A</v>
      </c>
    </row>
    <row r="86" ht="16.5" customHeight="1">
      <c r="A86" s="5" t="s">
        <v>74</v>
      </c>
      <c r="B86" s="10">
        <v>2009.0</v>
      </c>
      <c r="C86" s="5" t="s">
        <v>75</v>
      </c>
      <c r="D86" s="8">
        <v>2.2102E10</v>
      </c>
      <c r="E86" s="8">
        <v>5.87E8</v>
      </c>
      <c r="F86" s="13">
        <f t="shared" si="1"/>
        <v>12583497000</v>
      </c>
      <c r="G86" s="1" t="str">
        <f t="shared" si="3"/>
        <v>#N/A</v>
      </c>
      <c r="H86" s="1" t="str">
        <f t="shared" si="2"/>
        <v>#N/A</v>
      </c>
    </row>
    <row r="87" ht="16.5" customHeight="1">
      <c r="A87" s="5" t="s">
        <v>74</v>
      </c>
      <c r="B87" s="10">
        <v>2010.0</v>
      </c>
      <c r="C87" s="5" t="s">
        <v>75</v>
      </c>
      <c r="D87" s="8">
        <v>2.1834E10</v>
      </c>
      <c r="E87" s="8">
        <v>6.8E8</v>
      </c>
      <c r="F87" s="13">
        <f t="shared" si="1"/>
        <v>22102000000</v>
      </c>
      <c r="G87" s="1" t="str">
        <f t="shared" si="3"/>
        <v>#N/A</v>
      </c>
      <c r="H87" s="1" t="str">
        <f t="shared" si="2"/>
        <v>#N/A</v>
      </c>
    </row>
    <row r="88" ht="16.5" customHeight="1">
      <c r="A88" s="5" t="s">
        <v>74</v>
      </c>
      <c r="B88" s="10">
        <v>2011.0</v>
      </c>
      <c r="C88" s="5" t="s">
        <v>75</v>
      </c>
      <c r="D88" s="8">
        <v>2.664E10</v>
      </c>
      <c r="E88" s="8">
        <v>7.35E8</v>
      </c>
      <c r="F88" s="13">
        <f t="shared" si="1"/>
        <v>21834000000</v>
      </c>
      <c r="G88" s="1" t="str">
        <f t="shared" si="3"/>
        <v>#N/A</v>
      </c>
      <c r="H88" s="1" t="str">
        <f t="shared" si="2"/>
        <v>#N/A</v>
      </c>
    </row>
    <row r="89" ht="16.5" customHeight="1">
      <c r="A89" s="5" t="s">
        <v>74</v>
      </c>
      <c r="B89" s="10">
        <v>2012.0</v>
      </c>
      <c r="C89" s="5" t="s">
        <v>75</v>
      </c>
      <c r="D89" s="8">
        <v>2.7981E10</v>
      </c>
      <c r="E89" s="8">
        <v>9.71E8</v>
      </c>
      <c r="F89" s="13">
        <f t="shared" si="1"/>
        <v>26640000000</v>
      </c>
      <c r="G89" s="1" t="str">
        <f t="shared" si="3"/>
        <v>#N/A</v>
      </c>
      <c r="H89" s="1" t="str">
        <f t="shared" si="2"/>
        <v>#N/A</v>
      </c>
    </row>
    <row r="90" ht="16.5" customHeight="1">
      <c r="A90" s="5" t="s">
        <v>74</v>
      </c>
      <c r="B90" s="10">
        <v>2013.0</v>
      </c>
      <c r="C90" s="5" t="s">
        <v>75</v>
      </c>
      <c r="D90" s="8">
        <v>2.9586E10</v>
      </c>
      <c r="E90" s="8">
        <v>8.43E8</v>
      </c>
      <c r="F90" s="13">
        <f t="shared" si="1"/>
        <v>27981000000</v>
      </c>
      <c r="G90" s="1" t="str">
        <f t="shared" si="3"/>
        <v>#N/A</v>
      </c>
      <c r="H90" s="1" t="str">
        <f t="shared" si="2"/>
        <v>#N/A</v>
      </c>
    </row>
    <row r="91" ht="16.5" customHeight="1">
      <c r="A91" s="5" t="s">
        <v>74</v>
      </c>
      <c r="B91" s="10">
        <v>2014.0</v>
      </c>
      <c r="C91" s="5" t="s">
        <v>75</v>
      </c>
      <c r="D91" s="8">
        <v>3.1139E10</v>
      </c>
      <c r="E91" s="8">
        <v>8.21E8</v>
      </c>
      <c r="F91" s="13">
        <f t="shared" si="1"/>
        <v>29586000000</v>
      </c>
      <c r="G91" s="1" t="str">
        <f t="shared" si="3"/>
        <v>#N/A</v>
      </c>
      <c r="H91" s="1" t="str">
        <f t="shared" si="2"/>
        <v>#N/A</v>
      </c>
    </row>
    <row r="92" ht="16.5" customHeight="1">
      <c r="A92" s="5" t="s">
        <v>74</v>
      </c>
      <c r="B92" s="10">
        <v>2015.0</v>
      </c>
      <c r="C92" s="5" t="s">
        <v>75</v>
      </c>
      <c r="D92" s="8">
        <v>3.3367E10</v>
      </c>
      <c r="E92" s="8">
        <v>9.03E8</v>
      </c>
      <c r="F92" s="13">
        <f t="shared" si="1"/>
        <v>31139000000</v>
      </c>
      <c r="G92" s="1" t="str">
        <f t="shared" si="3"/>
        <v>#N/A</v>
      </c>
      <c r="H92" s="1" t="str">
        <f t="shared" si="2"/>
        <v>#N/A</v>
      </c>
    </row>
    <row r="93" ht="16.5" customHeight="1">
      <c r="A93" s="5" t="s">
        <v>74</v>
      </c>
      <c r="B93" s="10">
        <v>2016.0</v>
      </c>
      <c r="C93" s="5" t="s">
        <v>75</v>
      </c>
      <c r="D93" s="8">
        <v>2.8898E10</v>
      </c>
      <c r="E93" s="8">
        <v>3.16E8</v>
      </c>
      <c r="F93" s="13">
        <f t="shared" si="1"/>
        <v>33367000000</v>
      </c>
      <c r="G93" s="1" t="str">
        <f t="shared" si="3"/>
        <v>#N/A</v>
      </c>
      <c r="H93" s="1" t="str">
        <f t="shared" si="2"/>
        <v>#N/A</v>
      </c>
    </row>
    <row r="94" ht="16.5" customHeight="1">
      <c r="A94" s="5" t="s">
        <v>74</v>
      </c>
      <c r="B94" s="10">
        <v>2017.0</v>
      </c>
      <c r="C94" s="5" t="s">
        <v>75</v>
      </c>
      <c r="D94" s="8">
        <v>2.5199E10</v>
      </c>
      <c r="E94" s="8">
        <v>8.23E8</v>
      </c>
      <c r="F94" s="13">
        <f t="shared" si="1"/>
        <v>28898000000</v>
      </c>
      <c r="G94" s="1" t="str">
        <f t="shared" si="3"/>
        <v>#N/A</v>
      </c>
      <c r="H94" s="1" t="str">
        <f t="shared" si="2"/>
        <v>#N/A</v>
      </c>
    </row>
    <row r="95" ht="16.5" customHeight="1">
      <c r="A95" s="5" t="s">
        <v>74</v>
      </c>
      <c r="B95" s="10">
        <v>2018.0</v>
      </c>
      <c r="C95" s="5" t="s">
        <v>75</v>
      </c>
      <c r="D95" s="8">
        <v>2.4257E10</v>
      </c>
      <c r="E95" s="8">
        <v>6.38E8</v>
      </c>
      <c r="F95" s="13">
        <f t="shared" si="1"/>
        <v>25199000000</v>
      </c>
      <c r="G95" s="1" t="str">
        <f t="shared" si="3"/>
        <v>#N/A</v>
      </c>
      <c r="H95" s="1" t="str">
        <f t="shared" si="2"/>
        <v>#N/A</v>
      </c>
    </row>
    <row r="96" ht="16.5" customHeight="1">
      <c r="A96" s="5" t="s">
        <v>74</v>
      </c>
      <c r="B96" s="10">
        <v>2019.0</v>
      </c>
      <c r="C96" s="5" t="s">
        <v>75</v>
      </c>
      <c r="D96" s="8">
        <v>2.5743E10</v>
      </c>
      <c r="E96" s="8">
        <v>1.17E9</v>
      </c>
      <c r="F96" s="13">
        <f t="shared" si="1"/>
        <v>24257000000</v>
      </c>
      <c r="G96" s="1" t="str">
        <f t="shared" si="3"/>
        <v>#N/A</v>
      </c>
      <c r="H96" s="1" t="str">
        <f t="shared" si="2"/>
        <v>#N/A</v>
      </c>
    </row>
    <row r="97" ht="16.5" customHeight="1">
      <c r="A97" s="5" t="s">
        <v>74</v>
      </c>
      <c r="B97" s="10">
        <v>2020.0</v>
      </c>
      <c r="C97" s="5" t="s">
        <v>75</v>
      </c>
      <c r="D97" s="8">
        <v>2.5093E10</v>
      </c>
      <c r="E97" s="8">
        <v>8.46E8</v>
      </c>
      <c r="F97" s="13">
        <f t="shared" si="1"/>
        <v>25743000000</v>
      </c>
      <c r="G97" s="1" t="str">
        <f t="shared" si="3"/>
        <v>#N/A</v>
      </c>
      <c r="H97" s="1" t="str">
        <f t="shared" si="2"/>
        <v>#N/A</v>
      </c>
    </row>
    <row r="98" ht="16.5" customHeight="1">
      <c r="A98" s="5" t="s">
        <v>74</v>
      </c>
      <c r="B98" s="10">
        <v>2021.0</v>
      </c>
      <c r="C98" s="5" t="s">
        <v>75</v>
      </c>
      <c r="D98" s="8">
        <v>2.1037E10</v>
      </c>
      <c r="E98" s="8">
        <v>-4.37E8</v>
      </c>
      <c r="F98" s="13">
        <f t="shared" si="1"/>
        <v>25093000000</v>
      </c>
      <c r="G98" s="1" t="str">
        <f t="shared" si="3"/>
        <v>#N/A</v>
      </c>
      <c r="H98" s="1" t="str">
        <f t="shared" si="2"/>
        <v>#N/A</v>
      </c>
    </row>
    <row r="99" ht="16.5" customHeight="1">
      <c r="A99" s="5" t="s">
        <v>74</v>
      </c>
      <c r="B99" s="10">
        <v>2022.0</v>
      </c>
      <c r="C99" s="5" t="s">
        <v>75</v>
      </c>
      <c r="D99" s="8">
        <v>2.402E10</v>
      </c>
      <c r="E99" s="8">
        <v>7.82E8</v>
      </c>
      <c r="F99" s="13">
        <f t="shared" si="1"/>
        <v>21037000000</v>
      </c>
      <c r="G99" s="1" t="str">
        <f t="shared" si="3"/>
        <v>#N/A</v>
      </c>
      <c r="H99" s="1" t="str">
        <f t="shared" si="2"/>
        <v>#N/A</v>
      </c>
    </row>
    <row r="100" ht="16.5" customHeight="1">
      <c r="A100" s="5" t="s">
        <v>74</v>
      </c>
      <c r="B100" s="10">
        <v>2023.0</v>
      </c>
      <c r="C100" s="5" t="s">
        <v>75</v>
      </c>
      <c r="D100" s="8">
        <v>1.8948E10</v>
      </c>
      <c r="E100" s="8">
        <v>1.146E9</v>
      </c>
      <c r="F100" s="13">
        <f t="shared" si="1"/>
        <v>24020000000</v>
      </c>
      <c r="G100" s="1" t="str">
        <f t="shared" si="3"/>
        <v>#N/A</v>
      </c>
      <c r="H100" s="1" t="str">
        <f t="shared" si="2"/>
        <v>#N/A</v>
      </c>
    </row>
    <row r="101" ht="16.5" customHeight="1">
      <c r="A101" s="5" t="s">
        <v>74</v>
      </c>
      <c r="B101" s="10">
        <v>2024.0</v>
      </c>
      <c r="C101" s="5" t="s">
        <v>75</v>
      </c>
      <c r="D101" s="8">
        <v>2.0454E10</v>
      </c>
      <c r="E101" s="8">
        <v>1.062E9</v>
      </c>
      <c r="F101" s="13">
        <f t="shared" si="1"/>
        <v>18948000000</v>
      </c>
      <c r="G101" s="1" t="str">
        <f t="shared" si="3"/>
        <v>#N/A</v>
      </c>
      <c r="H101" s="1" t="str">
        <f t="shared" si="2"/>
        <v>#N/A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0"/>
    <col customWidth="1" min="2" max="3" width="10.89"/>
    <col customWidth="1" min="4" max="4" width="18.33"/>
    <col customWidth="1" min="5" max="5" width="18.11"/>
    <col customWidth="1" min="6" max="6" width="14.67"/>
    <col customWidth="1" min="7" max="7" width="14.33"/>
    <col customWidth="1" min="8" max="8" width="17.11"/>
    <col customWidth="1" min="9" max="9" width="10.89"/>
    <col customWidth="1" min="10" max="10" width="17.44"/>
    <col customWidth="1" min="11" max="26" width="8.56"/>
  </cols>
  <sheetData>
    <row r="1" ht="16.5" customHeight="1">
      <c r="A1" s="2" t="s">
        <v>1</v>
      </c>
      <c r="B1" s="2" t="s">
        <v>3</v>
      </c>
      <c r="C1" s="2" t="s">
        <v>4</v>
      </c>
      <c r="D1" s="2" t="s">
        <v>8</v>
      </c>
      <c r="E1" s="2" t="s">
        <v>9</v>
      </c>
      <c r="F1" s="2" t="s">
        <v>14</v>
      </c>
      <c r="G1" s="2" t="s">
        <v>19</v>
      </c>
      <c r="H1" s="2" t="s">
        <v>21</v>
      </c>
      <c r="I1" s="2" t="s">
        <v>15</v>
      </c>
      <c r="J1" s="2" t="s">
        <v>18</v>
      </c>
    </row>
    <row r="2" ht="16.5" customHeight="1">
      <c r="A2" s="5" t="s">
        <v>11</v>
      </c>
      <c r="B2" s="6" t="s">
        <v>24</v>
      </c>
      <c r="C2" s="5" t="s">
        <v>15</v>
      </c>
      <c r="D2" s="8">
        <v>5.010568E9</v>
      </c>
      <c r="E2" s="8">
        <v>7.29404E8</v>
      </c>
      <c r="F2" s="1">
        <v>6.114866E9</v>
      </c>
      <c r="G2" s="1">
        <v>0.119283725923021</v>
      </c>
      <c r="H2" s="1">
        <v>0.137016531636688</v>
      </c>
      <c r="I2" s="1">
        <f t="shared" ref="I2:I93" si="1">IF(C2="WDS",1,0)</f>
        <v>1</v>
      </c>
      <c r="J2" s="1">
        <f t="shared" ref="J2:J93" si="2">I2*H2</f>
        <v>0.1370165316</v>
      </c>
    </row>
    <row r="3" ht="16.5" customHeight="1">
      <c r="A3" s="5" t="s">
        <v>11</v>
      </c>
      <c r="B3" s="6" t="s">
        <v>34</v>
      </c>
      <c r="C3" s="5" t="s">
        <v>15</v>
      </c>
      <c r="D3" s="8">
        <v>4.782299E9</v>
      </c>
      <c r="E3" s="8">
        <v>5.26685E8</v>
      </c>
      <c r="F3" s="1">
        <v>5.010568E9</v>
      </c>
      <c r="G3" s="1">
        <v>0.105114829296798</v>
      </c>
      <c r="H3" s="1">
        <v>0.119283725923021</v>
      </c>
      <c r="I3" s="1">
        <f t="shared" si="1"/>
        <v>1</v>
      </c>
      <c r="J3" s="1">
        <f t="shared" si="2"/>
        <v>0.1192837259</v>
      </c>
    </row>
    <row r="4" ht="16.5" customHeight="1">
      <c r="A4" s="5" t="s">
        <v>11</v>
      </c>
      <c r="B4" s="6" t="s">
        <v>37</v>
      </c>
      <c r="C4" s="5" t="s">
        <v>15</v>
      </c>
      <c r="D4" s="8">
        <v>5.569535E9</v>
      </c>
      <c r="E4" s="8">
        <v>6.50895E8</v>
      </c>
      <c r="F4" s="1">
        <v>4.782299E9</v>
      </c>
      <c r="G4" s="1">
        <v>0.136105040692771</v>
      </c>
      <c r="H4" s="1">
        <v>0.105114829296798</v>
      </c>
      <c r="I4" s="1">
        <f t="shared" si="1"/>
        <v>1</v>
      </c>
      <c r="J4" s="1">
        <f t="shared" si="2"/>
        <v>0.1051148293</v>
      </c>
    </row>
    <row r="5" ht="16.5" customHeight="1">
      <c r="A5" s="5" t="s">
        <v>11</v>
      </c>
      <c r="B5" s="6" t="s">
        <v>43</v>
      </c>
      <c r="C5" s="5" t="s">
        <v>15</v>
      </c>
      <c r="D5" s="8">
        <v>6.969377E9</v>
      </c>
      <c r="E5" s="8">
        <v>9.42727E8</v>
      </c>
      <c r="F5" s="1">
        <v>5.569535E9</v>
      </c>
      <c r="G5" s="1">
        <v>0.169264938634913</v>
      </c>
      <c r="H5" s="1">
        <v>0.136105040692771</v>
      </c>
      <c r="I5" s="1">
        <f t="shared" si="1"/>
        <v>1</v>
      </c>
      <c r="J5" s="1">
        <f t="shared" si="2"/>
        <v>0.1361050407</v>
      </c>
    </row>
    <row r="6" ht="16.5" customHeight="1">
      <c r="A6" s="5" t="s">
        <v>11</v>
      </c>
      <c r="B6" s="6" t="s">
        <v>47</v>
      </c>
      <c r="C6" s="5" t="s">
        <v>15</v>
      </c>
      <c r="D6" s="8">
        <v>8.9687E9</v>
      </c>
      <c r="E6" s="8">
        <v>1.3959E9</v>
      </c>
      <c r="F6" s="1">
        <v>6.969377E9</v>
      </c>
      <c r="G6" s="1">
        <v>0.200290499423406</v>
      </c>
      <c r="H6" s="1">
        <v>0.169264938634913</v>
      </c>
      <c r="I6" s="1">
        <f t="shared" si="1"/>
        <v>1</v>
      </c>
      <c r="J6" s="1">
        <f t="shared" si="2"/>
        <v>0.1692649386</v>
      </c>
    </row>
    <row r="7" ht="16.5" customHeight="1">
      <c r="A7" s="5" t="s">
        <v>11</v>
      </c>
      <c r="B7" s="6" t="s">
        <v>48</v>
      </c>
      <c r="C7" s="5" t="s">
        <v>15</v>
      </c>
      <c r="D7" s="8">
        <v>9.73E9</v>
      </c>
      <c r="E7" s="8">
        <v>1.39933E9</v>
      </c>
      <c r="F7" s="1">
        <v>8.9687E9</v>
      </c>
      <c r="G7" s="1">
        <v>0.156023726961544</v>
      </c>
      <c r="H7" s="1">
        <v>0.200290499423406</v>
      </c>
      <c r="I7" s="1">
        <f t="shared" si="1"/>
        <v>1</v>
      </c>
      <c r="J7" s="1">
        <f t="shared" si="2"/>
        <v>0.2002904994</v>
      </c>
    </row>
    <row r="8" ht="16.5" customHeight="1">
      <c r="A8" s="5" t="s">
        <v>11</v>
      </c>
      <c r="B8" s="6" t="s">
        <v>49</v>
      </c>
      <c r="C8" s="5" t="s">
        <v>15</v>
      </c>
      <c r="D8" s="8">
        <v>1.4929E10</v>
      </c>
      <c r="E8" s="8">
        <v>1.786E9</v>
      </c>
      <c r="F8" s="1">
        <v>9.73E9</v>
      </c>
      <c r="G8" s="1">
        <v>0.183556012332991</v>
      </c>
      <c r="H8" s="1">
        <v>0.156023726961544</v>
      </c>
      <c r="I8" s="1">
        <f t="shared" si="1"/>
        <v>1</v>
      </c>
      <c r="J8" s="1">
        <f t="shared" si="2"/>
        <v>0.156023727</v>
      </c>
    </row>
    <row r="9" ht="16.5" customHeight="1">
      <c r="A9" s="5" t="s">
        <v>11</v>
      </c>
      <c r="B9" s="6" t="s">
        <v>50</v>
      </c>
      <c r="C9" s="5" t="s">
        <v>15</v>
      </c>
      <c r="D9" s="8">
        <v>1.9874E10</v>
      </c>
      <c r="E9" s="8">
        <v>1.3648E9</v>
      </c>
      <c r="F9" s="1">
        <v>1.4929E10</v>
      </c>
      <c r="G9" s="1">
        <v>0.0914193850894233</v>
      </c>
      <c r="H9" s="1">
        <v>0.183556012332991</v>
      </c>
      <c r="I9" s="1">
        <f t="shared" si="1"/>
        <v>1</v>
      </c>
      <c r="J9" s="1">
        <f t="shared" si="2"/>
        <v>0.1835560123</v>
      </c>
    </row>
    <row r="10" ht="16.5" customHeight="1">
      <c r="A10" s="5" t="s">
        <v>11</v>
      </c>
      <c r="B10" s="6" t="s">
        <v>51</v>
      </c>
      <c r="C10" s="5" t="s">
        <v>15</v>
      </c>
      <c r="D10" s="8">
        <v>1.9872085014E10</v>
      </c>
      <c r="E10" s="8">
        <v>1.397225228E9</v>
      </c>
      <c r="F10" s="1">
        <v>1.9874E10</v>
      </c>
      <c r="G10" s="1">
        <v>0.0703041777196337</v>
      </c>
      <c r="H10" s="1">
        <v>0.0914193850894233</v>
      </c>
      <c r="I10" s="1">
        <f t="shared" si="1"/>
        <v>1</v>
      </c>
      <c r="J10" s="1">
        <f t="shared" si="2"/>
        <v>0.09141938509</v>
      </c>
    </row>
    <row r="11" ht="16.5" customHeight="1">
      <c r="A11" s="5" t="s">
        <v>11</v>
      </c>
      <c r="B11" s="6" t="s">
        <v>55</v>
      </c>
      <c r="C11" s="5" t="s">
        <v>15</v>
      </c>
      <c r="D11" s="8">
        <v>2.2390705001E10</v>
      </c>
      <c r="E11" s="8">
        <v>1.631547853E9</v>
      </c>
      <c r="F11" s="1">
        <v>1.9872085014E10</v>
      </c>
      <c r="G11" s="1">
        <v>0.0821024996546948</v>
      </c>
      <c r="H11" s="1">
        <v>0.0703041777196337</v>
      </c>
      <c r="I11" s="1">
        <f t="shared" si="1"/>
        <v>1</v>
      </c>
      <c r="J11" s="1">
        <f t="shared" si="2"/>
        <v>0.07030417772</v>
      </c>
    </row>
    <row r="12" ht="16.5" customHeight="1">
      <c r="A12" s="5" t="s">
        <v>11</v>
      </c>
      <c r="B12" s="6" t="s">
        <v>57</v>
      </c>
      <c r="C12" s="5" t="s">
        <v>15</v>
      </c>
      <c r="D12" s="8">
        <v>2.3892526964E10</v>
      </c>
      <c r="E12" s="8">
        <v>2.043528505E9</v>
      </c>
      <c r="F12" s="1">
        <v>2.2390705001E10</v>
      </c>
      <c r="G12" s="1">
        <v>0.0912668227690344</v>
      </c>
      <c r="H12" s="1">
        <v>0.0821024996546948</v>
      </c>
      <c r="I12" s="1">
        <f t="shared" si="1"/>
        <v>1</v>
      </c>
      <c r="J12" s="1">
        <f t="shared" si="2"/>
        <v>0.08210249965</v>
      </c>
    </row>
    <row r="13" ht="16.5" customHeight="1">
      <c r="A13" s="5" t="s">
        <v>11</v>
      </c>
      <c r="B13" s="6" t="s">
        <v>58</v>
      </c>
      <c r="C13" s="5" t="s">
        <v>15</v>
      </c>
      <c r="D13" s="8">
        <v>2.656459544E10</v>
      </c>
      <c r="E13" s="8">
        <v>1.974742959E9</v>
      </c>
      <c r="F13" s="1">
        <v>2.3892526964E10</v>
      </c>
      <c r="G13" s="1">
        <v>0.0826510716918072</v>
      </c>
      <c r="H13" s="1">
        <v>0.0912668227690344</v>
      </c>
      <c r="I13" s="1">
        <f t="shared" si="1"/>
        <v>1</v>
      </c>
      <c r="J13" s="1">
        <f t="shared" si="2"/>
        <v>0.09126682277</v>
      </c>
    </row>
    <row r="14" ht="16.5" customHeight="1">
      <c r="A14" s="5" t="s">
        <v>11</v>
      </c>
      <c r="B14" s="6" t="s">
        <v>59</v>
      </c>
      <c r="C14" s="5" t="s">
        <v>15</v>
      </c>
      <c r="D14" s="8">
        <v>2.9361131431E10</v>
      </c>
      <c r="E14" s="8">
        <v>3.067544501E9</v>
      </c>
      <c r="F14" s="1">
        <v>2.656459544E10</v>
      </c>
      <c r="G14" s="1">
        <v>0.115474918785362</v>
      </c>
      <c r="H14" s="1">
        <v>0.0826510716918072</v>
      </c>
      <c r="I14" s="1">
        <f t="shared" si="1"/>
        <v>1</v>
      </c>
      <c r="J14" s="1">
        <f t="shared" si="2"/>
        <v>0.08265107169</v>
      </c>
    </row>
    <row r="15" ht="16.5" customHeight="1">
      <c r="A15" s="5" t="s">
        <v>11</v>
      </c>
      <c r="B15" s="6" t="s">
        <v>60</v>
      </c>
      <c r="C15" s="5" t="s">
        <v>15</v>
      </c>
      <c r="D15" s="8">
        <v>3.2629345743E10</v>
      </c>
      <c r="E15" s="8">
        <v>1.637010676E9</v>
      </c>
      <c r="F15" s="1">
        <v>2.9361131431E10</v>
      </c>
      <c r="G15" s="1">
        <v>0.0557543458380359</v>
      </c>
      <c r="H15" s="1">
        <v>0.115474918785362</v>
      </c>
      <c r="I15" s="1">
        <f t="shared" si="1"/>
        <v>1</v>
      </c>
      <c r="J15" s="1">
        <f t="shared" si="2"/>
        <v>0.1154749188</v>
      </c>
    </row>
    <row r="16" ht="16.5" customHeight="1">
      <c r="A16" s="5" t="s">
        <v>11</v>
      </c>
      <c r="B16" s="6" t="s">
        <v>61</v>
      </c>
      <c r="C16" s="5" t="s">
        <v>15</v>
      </c>
      <c r="D16" s="8">
        <v>3.4550856826E10</v>
      </c>
      <c r="E16" s="8">
        <v>1.344665561E9</v>
      </c>
      <c r="F16" s="1">
        <v>3.2629345743E10</v>
      </c>
      <c r="G16" s="1">
        <v>0.0412103133048101</v>
      </c>
      <c r="H16" s="1">
        <v>0.0557543458380359</v>
      </c>
      <c r="I16" s="1">
        <f t="shared" si="1"/>
        <v>1</v>
      </c>
      <c r="J16" s="1">
        <f t="shared" si="2"/>
        <v>0.05575434584</v>
      </c>
    </row>
    <row r="17" ht="16.5" customHeight="1">
      <c r="A17" s="5" t="s">
        <v>11</v>
      </c>
      <c r="B17" s="6" t="s">
        <v>62</v>
      </c>
      <c r="C17" s="5" t="s">
        <v>15</v>
      </c>
      <c r="D17" s="8">
        <v>3.2565384615E10</v>
      </c>
      <c r="E17" s="8">
        <v>1.435897435E9</v>
      </c>
      <c r="F17" s="1">
        <v>3.4550856826E10</v>
      </c>
      <c r="G17" s="1">
        <v>0.0415589530016942</v>
      </c>
      <c r="H17" s="1">
        <v>0.0412103133048101</v>
      </c>
      <c r="I17" s="1">
        <f t="shared" si="1"/>
        <v>1</v>
      </c>
      <c r="J17" s="1">
        <f t="shared" si="2"/>
        <v>0.0412103133</v>
      </c>
    </row>
    <row r="18" ht="16.5" customHeight="1">
      <c r="A18" s="5" t="s">
        <v>11</v>
      </c>
      <c r="B18" s="6" t="s">
        <v>63</v>
      </c>
      <c r="C18" s="5" t="s">
        <v>15</v>
      </c>
      <c r="D18" s="8">
        <v>3.8379144233E10</v>
      </c>
      <c r="E18" s="8">
        <v>2.136582601E9</v>
      </c>
      <c r="F18" s="1">
        <v>3.2565384615E10</v>
      </c>
      <c r="G18" s="1">
        <v>0.0656090086531901</v>
      </c>
      <c r="H18" s="1">
        <v>0.0415589530016942</v>
      </c>
      <c r="I18" s="1">
        <f t="shared" si="1"/>
        <v>1</v>
      </c>
      <c r="J18" s="1">
        <f t="shared" si="2"/>
        <v>0.041558953</v>
      </c>
    </row>
    <row r="19" ht="16.5" customHeight="1">
      <c r="A19" s="5" t="s">
        <v>11</v>
      </c>
      <c r="B19" s="6" t="s">
        <v>64</v>
      </c>
      <c r="C19" s="5" t="s">
        <v>15</v>
      </c>
      <c r="D19" s="8">
        <v>4.1896945475E10</v>
      </c>
      <c r="E19" s="8">
        <v>5.69511846E8</v>
      </c>
      <c r="F19" s="1">
        <v>3.8379144233E10</v>
      </c>
      <c r="G19" s="1">
        <v>0.0148390970507964</v>
      </c>
      <c r="H19" s="1">
        <v>0.0656090086531901</v>
      </c>
      <c r="I19" s="1">
        <f t="shared" si="1"/>
        <v>1</v>
      </c>
      <c r="J19" s="1">
        <f t="shared" si="2"/>
        <v>0.06560900865</v>
      </c>
    </row>
    <row r="20" ht="16.5" customHeight="1">
      <c r="A20" s="5" t="s">
        <v>11</v>
      </c>
      <c r="B20" s="6" t="s">
        <v>65</v>
      </c>
      <c r="C20" s="5" t="s">
        <v>15</v>
      </c>
      <c r="D20" s="8">
        <v>3.196961828E10</v>
      </c>
      <c r="E20" s="8">
        <v>-5.13113477E9</v>
      </c>
      <c r="F20" s="1">
        <v>4.1896945475E10</v>
      </c>
      <c r="G20" s="1">
        <v>-0.122470378492431</v>
      </c>
      <c r="H20" s="1">
        <v>0.0148390970507964</v>
      </c>
      <c r="I20" s="1">
        <f t="shared" si="1"/>
        <v>1</v>
      </c>
      <c r="J20" s="1">
        <f t="shared" si="2"/>
        <v>0.01483909705</v>
      </c>
    </row>
    <row r="21" ht="16.5" customHeight="1">
      <c r="A21" s="5" t="s">
        <v>11</v>
      </c>
      <c r="B21" s="6" t="s">
        <v>66</v>
      </c>
      <c r="C21" s="5" t="s">
        <v>15</v>
      </c>
      <c r="D21" s="8">
        <v>3.6485667034E10</v>
      </c>
      <c r="E21" s="8">
        <v>2.805953693E9</v>
      </c>
      <c r="F21" s="1">
        <v>3.196961828E10</v>
      </c>
      <c r="G21" s="1">
        <v>0.0877693836824879</v>
      </c>
      <c r="H21" s="1">
        <v>-0.122470378492431</v>
      </c>
      <c r="I21" s="1">
        <f t="shared" si="1"/>
        <v>1</v>
      </c>
      <c r="J21" s="1">
        <f t="shared" si="2"/>
        <v>-0.1224703785</v>
      </c>
    </row>
    <row r="22" ht="16.5" customHeight="1">
      <c r="A22" s="5" t="s">
        <v>11</v>
      </c>
      <c r="B22" s="6" t="s">
        <v>67</v>
      </c>
      <c r="C22" s="5" t="s">
        <v>15</v>
      </c>
      <c r="D22" s="8">
        <v>8.7558671586E10</v>
      </c>
      <c r="E22" s="8">
        <v>9.704797047E9</v>
      </c>
      <c r="F22" s="1">
        <v>3.6485667034E10</v>
      </c>
      <c r="G22" s="1">
        <v>0.265989300345156</v>
      </c>
      <c r="H22" s="1">
        <v>0.0877693836824879</v>
      </c>
      <c r="I22" s="1">
        <f t="shared" si="1"/>
        <v>1</v>
      </c>
      <c r="J22" s="1">
        <f t="shared" si="2"/>
        <v>0.08776938368</v>
      </c>
    </row>
    <row r="23" ht="16.5" customHeight="1">
      <c r="A23" s="5" t="s">
        <v>11</v>
      </c>
      <c r="B23" s="6" t="s">
        <v>68</v>
      </c>
      <c r="C23" s="5" t="s">
        <v>15</v>
      </c>
      <c r="D23" s="8">
        <v>8.0937134502E10</v>
      </c>
      <c r="E23" s="8">
        <v>2.517543859E9</v>
      </c>
      <c r="F23" s="1">
        <v>8.7558671586E10</v>
      </c>
      <c r="G23" s="1">
        <v>0.028752650233247</v>
      </c>
      <c r="H23" s="1">
        <v>0.265989300345156</v>
      </c>
      <c r="I23" s="1">
        <f t="shared" si="1"/>
        <v>1</v>
      </c>
      <c r="J23" s="1">
        <f t="shared" si="2"/>
        <v>0.2659893003</v>
      </c>
    </row>
    <row r="24" ht="16.5" customHeight="1">
      <c r="A24" s="5" t="s">
        <v>11</v>
      </c>
      <c r="B24" s="6" t="s">
        <v>69</v>
      </c>
      <c r="C24" s="5" t="s">
        <v>15</v>
      </c>
      <c r="D24" s="8">
        <v>9.8542705484E10</v>
      </c>
      <c r="E24" s="8">
        <v>5.864564902E9</v>
      </c>
      <c r="F24" s="1">
        <v>8.0937134502E10</v>
      </c>
      <c r="G24" s="1">
        <v>0.0724582719425912</v>
      </c>
      <c r="H24" s="1">
        <v>0.028752650233247</v>
      </c>
      <c r="I24" s="1">
        <f t="shared" si="1"/>
        <v>1</v>
      </c>
      <c r="J24" s="1">
        <f t="shared" si="2"/>
        <v>0.02875265023</v>
      </c>
    </row>
    <row r="25" ht="16.5" customHeight="1">
      <c r="A25" s="5" t="s">
        <v>70</v>
      </c>
      <c r="B25" s="6" t="s">
        <v>24</v>
      </c>
      <c r="C25" s="5" t="s">
        <v>71</v>
      </c>
      <c r="D25" s="8">
        <v>5.3208E9</v>
      </c>
      <c r="E25" s="8">
        <v>3.221E8</v>
      </c>
      <c r="F25" s="1">
        <v>5.0487E9</v>
      </c>
      <c r="G25" s="1">
        <v>0.0637986016202191</v>
      </c>
      <c r="H25" s="1">
        <v>0.0956908021803511</v>
      </c>
      <c r="I25" s="1">
        <f t="shared" si="1"/>
        <v>0</v>
      </c>
      <c r="J25" s="1">
        <f t="shared" si="2"/>
        <v>0</v>
      </c>
    </row>
    <row r="26" ht="16.5" customHeight="1">
      <c r="A26" s="5" t="s">
        <v>70</v>
      </c>
      <c r="B26" s="6" t="s">
        <v>34</v>
      </c>
      <c r="C26" s="5" t="s">
        <v>71</v>
      </c>
      <c r="D26" s="8">
        <v>5.2183E9</v>
      </c>
      <c r="E26" s="8">
        <v>2.1648E8</v>
      </c>
      <c r="F26" s="1">
        <v>5.3208E9</v>
      </c>
      <c r="G26" s="1">
        <v>0.0406856111862878</v>
      </c>
      <c r="H26" s="1">
        <v>0.0637986016202191</v>
      </c>
      <c r="I26" s="1">
        <f t="shared" si="1"/>
        <v>0</v>
      </c>
      <c r="J26" s="1">
        <f t="shared" si="2"/>
        <v>0</v>
      </c>
    </row>
    <row r="27" ht="16.5" customHeight="1">
      <c r="A27" s="5" t="s">
        <v>70</v>
      </c>
      <c r="B27" s="6" t="s">
        <v>37</v>
      </c>
      <c r="C27" s="5" t="s">
        <v>71</v>
      </c>
      <c r="D27" s="8">
        <v>5.956E9</v>
      </c>
      <c r="E27" s="8">
        <v>3.139E8</v>
      </c>
      <c r="F27" s="1">
        <v>5.2183E9</v>
      </c>
      <c r="G27" s="1">
        <v>0.0601536898990093</v>
      </c>
      <c r="H27" s="1">
        <v>0.0406856111862878</v>
      </c>
      <c r="I27" s="1">
        <f t="shared" si="1"/>
        <v>0</v>
      </c>
      <c r="J27" s="1">
        <f t="shared" si="2"/>
        <v>0</v>
      </c>
    </row>
    <row r="28" ht="16.5" customHeight="1">
      <c r="A28" s="5" t="s">
        <v>70</v>
      </c>
      <c r="B28" s="6" t="s">
        <v>43</v>
      </c>
      <c r="C28" s="5" t="s">
        <v>71</v>
      </c>
      <c r="D28" s="8">
        <v>6.1913E9</v>
      </c>
      <c r="E28" s="8">
        <v>6.222E8</v>
      </c>
      <c r="F28" s="1">
        <v>5.956E9</v>
      </c>
      <c r="G28" s="1">
        <v>0.104466084620551</v>
      </c>
      <c r="H28" s="1">
        <v>0.0601536898990093</v>
      </c>
      <c r="I28" s="1">
        <f t="shared" si="1"/>
        <v>0</v>
      </c>
      <c r="J28" s="1">
        <f t="shared" si="2"/>
        <v>0</v>
      </c>
    </row>
    <row r="29" ht="16.5" customHeight="1">
      <c r="A29" s="5" t="s">
        <v>70</v>
      </c>
      <c r="B29" s="6" t="s">
        <v>47</v>
      </c>
      <c r="C29" s="5" t="s">
        <v>71</v>
      </c>
      <c r="D29" s="8">
        <v>6.9029E9</v>
      </c>
      <c r="E29" s="8">
        <v>6.526575E8</v>
      </c>
      <c r="F29" s="1">
        <v>6.1913E9</v>
      </c>
      <c r="G29" s="1">
        <v>0.105415260123076</v>
      </c>
      <c r="H29" s="1">
        <v>0.104466084620551</v>
      </c>
      <c r="I29" s="1">
        <f t="shared" si="1"/>
        <v>0</v>
      </c>
      <c r="J29" s="1">
        <f t="shared" si="2"/>
        <v>0</v>
      </c>
    </row>
    <row r="30" ht="16.5" customHeight="1">
      <c r="A30" s="5" t="s">
        <v>70</v>
      </c>
      <c r="B30" s="6" t="s">
        <v>48</v>
      </c>
      <c r="C30" s="5" t="s">
        <v>71</v>
      </c>
      <c r="D30" s="8">
        <v>7.3202E9</v>
      </c>
      <c r="E30" s="8">
        <v>5.484E8</v>
      </c>
      <c r="F30" s="1">
        <v>6.9029E9</v>
      </c>
      <c r="G30" s="1">
        <v>0.079444870996248</v>
      </c>
      <c r="H30" s="1">
        <v>0.105415260123076</v>
      </c>
      <c r="I30" s="1">
        <f t="shared" si="1"/>
        <v>0</v>
      </c>
      <c r="J30" s="1">
        <f t="shared" si="2"/>
        <v>0</v>
      </c>
    </row>
    <row r="31" ht="16.5" customHeight="1">
      <c r="A31" s="5" t="s">
        <v>70</v>
      </c>
      <c r="B31" s="6" t="s">
        <v>49</v>
      </c>
      <c r="C31" s="5" t="s">
        <v>71</v>
      </c>
      <c r="D31" s="8">
        <v>9.8019E9</v>
      </c>
      <c r="E31" s="8">
        <v>6.497E8</v>
      </c>
      <c r="F31" s="1">
        <v>7.3202E9</v>
      </c>
      <c r="G31" s="1">
        <v>0.0887544056173329</v>
      </c>
      <c r="H31" s="1">
        <v>0.079444870996248</v>
      </c>
      <c r="I31" s="1">
        <f t="shared" si="1"/>
        <v>0</v>
      </c>
      <c r="J31" s="1">
        <f t="shared" si="2"/>
        <v>0</v>
      </c>
    </row>
    <row r="32" ht="16.5" customHeight="1">
      <c r="A32" s="5" t="s">
        <v>70</v>
      </c>
      <c r="B32" s="6" t="s">
        <v>50</v>
      </c>
      <c r="C32" s="5" t="s">
        <v>71</v>
      </c>
      <c r="D32" s="8">
        <v>1.1361E10</v>
      </c>
      <c r="E32" s="8">
        <v>2.57E8</v>
      </c>
      <c r="F32" s="1">
        <v>9.8019E9</v>
      </c>
      <c r="G32" s="1">
        <v>0.0262194064416083</v>
      </c>
      <c r="H32" s="1">
        <v>0.0887544056173329</v>
      </c>
      <c r="I32" s="1">
        <f t="shared" si="1"/>
        <v>0</v>
      </c>
      <c r="J32" s="1">
        <f t="shared" si="2"/>
        <v>0</v>
      </c>
    </row>
    <row r="33" ht="16.5" customHeight="1">
      <c r="A33" s="5" t="s">
        <v>70</v>
      </c>
      <c r="B33" s="6" t="s">
        <v>51</v>
      </c>
      <c r="C33" s="5" t="s">
        <v>71</v>
      </c>
      <c r="D33" s="8">
        <v>1.377E10</v>
      </c>
      <c r="E33" s="8">
        <v>3.74E8</v>
      </c>
      <c r="F33" s="1">
        <v>1.1361E10</v>
      </c>
      <c r="G33" s="1">
        <v>0.0329196373558666</v>
      </c>
      <c r="H33" s="1">
        <v>0.0262194064416083</v>
      </c>
      <c r="I33" s="1">
        <f t="shared" si="1"/>
        <v>0</v>
      </c>
      <c r="J33" s="1">
        <f t="shared" si="2"/>
        <v>0</v>
      </c>
    </row>
    <row r="34" ht="16.5" customHeight="1">
      <c r="A34" s="5" t="s">
        <v>70</v>
      </c>
      <c r="B34" s="6" t="s">
        <v>55</v>
      </c>
      <c r="C34" s="5" t="s">
        <v>71</v>
      </c>
      <c r="D34" s="8">
        <v>1.5814E10</v>
      </c>
      <c r="E34" s="8">
        <v>4.51E8</v>
      </c>
      <c r="F34" s="1">
        <v>1.377E10</v>
      </c>
      <c r="G34" s="1">
        <v>0.0327523602033406</v>
      </c>
      <c r="H34" s="1">
        <v>0.0329196373558666</v>
      </c>
      <c r="I34" s="1">
        <f t="shared" si="1"/>
        <v>0</v>
      </c>
      <c r="J34" s="1">
        <f t="shared" si="2"/>
        <v>0</v>
      </c>
    </row>
    <row r="35" ht="16.5" customHeight="1">
      <c r="A35" s="5" t="s">
        <v>70</v>
      </c>
      <c r="B35" s="6" t="s">
        <v>57</v>
      </c>
      <c r="C35" s="5" t="s">
        <v>71</v>
      </c>
      <c r="D35" s="8">
        <v>1.7035E10</v>
      </c>
      <c r="E35" s="8">
        <v>4.31E8</v>
      </c>
      <c r="F35" s="1">
        <v>1.5814E10</v>
      </c>
      <c r="G35" s="1">
        <v>0.027254331604907</v>
      </c>
      <c r="H35" s="1">
        <v>0.0327523602033406</v>
      </c>
      <c r="I35" s="1">
        <f t="shared" si="1"/>
        <v>0</v>
      </c>
      <c r="J35" s="1">
        <f t="shared" si="2"/>
        <v>0</v>
      </c>
    </row>
    <row r="36" ht="16.5" customHeight="1">
      <c r="A36" s="5" t="s">
        <v>70</v>
      </c>
      <c r="B36" s="6" t="s">
        <v>58</v>
      </c>
      <c r="C36" s="5" t="s">
        <v>71</v>
      </c>
      <c r="D36" s="8">
        <v>2.0609E10</v>
      </c>
      <c r="E36" s="8">
        <v>5.04E8</v>
      </c>
      <c r="F36" s="1">
        <v>1.7035E10</v>
      </c>
      <c r="G36" s="1">
        <v>0.0295861461696507</v>
      </c>
      <c r="H36" s="1">
        <v>0.027254331604907</v>
      </c>
      <c r="I36" s="1">
        <f t="shared" si="1"/>
        <v>0</v>
      </c>
      <c r="J36" s="1">
        <f t="shared" si="2"/>
        <v>0</v>
      </c>
    </row>
    <row r="37" ht="16.5" customHeight="1">
      <c r="A37" s="5" t="s">
        <v>70</v>
      </c>
      <c r="B37" s="6" t="s">
        <v>59</v>
      </c>
      <c r="C37" s="5" t="s">
        <v>71</v>
      </c>
      <c r="D37" s="8">
        <v>2.2345E10</v>
      </c>
      <c r="E37" s="8">
        <v>5.33E8</v>
      </c>
      <c r="F37" s="1">
        <v>2.0609E10</v>
      </c>
      <c r="G37" s="1">
        <v>0.0258624872628463</v>
      </c>
      <c r="H37" s="1">
        <v>0.0295861461696507</v>
      </c>
      <c r="I37" s="1">
        <f t="shared" si="1"/>
        <v>0</v>
      </c>
      <c r="J37" s="1">
        <f t="shared" si="2"/>
        <v>0</v>
      </c>
    </row>
    <row r="38" ht="16.5" customHeight="1">
      <c r="A38" s="5" t="s">
        <v>70</v>
      </c>
      <c r="B38" s="6" t="s">
        <v>60</v>
      </c>
      <c r="C38" s="5" t="s">
        <v>71</v>
      </c>
      <c r="D38" s="8">
        <v>2.2576E10</v>
      </c>
      <c r="E38" s="8">
        <v>-5.446E9</v>
      </c>
      <c r="F38" s="1">
        <v>2.2345E10</v>
      </c>
      <c r="G38" s="1">
        <v>-0.243723428059969</v>
      </c>
      <c r="H38" s="1">
        <v>0.0258624872628463</v>
      </c>
      <c r="I38" s="1">
        <f t="shared" si="1"/>
        <v>0</v>
      </c>
      <c r="J38" s="1">
        <f t="shared" si="2"/>
        <v>0</v>
      </c>
    </row>
    <row r="39" ht="16.5" customHeight="1">
      <c r="A39" s="5" t="s">
        <v>70</v>
      </c>
      <c r="B39" s="6" t="s">
        <v>61</v>
      </c>
      <c r="C39" s="5" t="s">
        <v>71</v>
      </c>
      <c r="D39" s="8">
        <v>2.1091763405E10</v>
      </c>
      <c r="E39" s="8">
        <v>-1.453841901E9</v>
      </c>
      <c r="F39" s="1">
        <v>2.2576E10</v>
      </c>
      <c r="G39" s="1">
        <v>-0.0643976745659107</v>
      </c>
      <c r="H39" s="1">
        <v>-0.243723428059969</v>
      </c>
      <c r="I39" s="1">
        <f t="shared" si="1"/>
        <v>0</v>
      </c>
      <c r="J39" s="1">
        <f t="shared" si="2"/>
        <v>0</v>
      </c>
    </row>
    <row r="40" ht="16.5" customHeight="1">
      <c r="A40" s="5" t="s">
        <v>70</v>
      </c>
      <c r="B40" s="6" t="s">
        <v>62</v>
      </c>
      <c r="C40" s="5" t="s">
        <v>71</v>
      </c>
      <c r="D40" s="8">
        <v>1.7571794871E10</v>
      </c>
      <c r="E40" s="8">
        <v>-4.58974358E8</v>
      </c>
      <c r="F40" s="1">
        <v>2.1091763405E10</v>
      </c>
      <c r="G40" s="1">
        <v>-0.0217608337997569</v>
      </c>
      <c r="H40" s="1">
        <v>-0.0643976745659107</v>
      </c>
      <c r="I40" s="1">
        <f t="shared" si="1"/>
        <v>0</v>
      </c>
      <c r="J40" s="1">
        <f t="shared" si="2"/>
        <v>0</v>
      </c>
    </row>
    <row r="41" ht="16.5" customHeight="1">
      <c r="A41" s="5" t="s">
        <v>70</v>
      </c>
      <c r="B41" s="6" t="s">
        <v>63</v>
      </c>
      <c r="C41" s="5" t="s">
        <v>71</v>
      </c>
      <c r="D41" s="8">
        <v>2.4275998866E10</v>
      </c>
      <c r="E41" s="8">
        <v>8.82686313E8</v>
      </c>
      <c r="F41" s="1">
        <v>1.7571794871E10</v>
      </c>
      <c r="G41" s="1">
        <v>0.0502331332388111</v>
      </c>
      <c r="H41" s="1">
        <v>-0.0217608337997569</v>
      </c>
      <c r="I41" s="1">
        <f t="shared" si="1"/>
        <v>0</v>
      </c>
      <c r="J41" s="1">
        <f t="shared" si="2"/>
        <v>0</v>
      </c>
    </row>
    <row r="42" ht="16.5" customHeight="1">
      <c r="A42" s="5" t="s">
        <v>70</v>
      </c>
      <c r="B42" s="6" t="s">
        <v>64</v>
      </c>
      <c r="C42" s="5" t="s">
        <v>71</v>
      </c>
      <c r="D42" s="8">
        <v>2.3564087924E10</v>
      </c>
      <c r="E42" s="8">
        <v>9.22066799E8</v>
      </c>
      <c r="F42" s="1">
        <v>2.4275998866E10</v>
      </c>
      <c r="G42" s="1">
        <v>0.0379826512634835</v>
      </c>
      <c r="H42" s="1">
        <v>0.0502331332388111</v>
      </c>
      <c r="I42" s="1">
        <f t="shared" si="1"/>
        <v>0</v>
      </c>
      <c r="J42" s="1">
        <f t="shared" si="2"/>
        <v>0</v>
      </c>
    </row>
    <row r="43" ht="16.5" customHeight="1">
      <c r="A43" s="5" t="s">
        <v>70</v>
      </c>
      <c r="B43" s="6" t="s">
        <v>65</v>
      </c>
      <c r="C43" s="5" t="s">
        <v>71</v>
      </c>
      <c r="D43" s="8">
        <v>2.2923915866E10</v>
      </c>
      <c r="E43" s="8">
        <v>-3.25889379E8</v>
      </c>
      <c r="F43" s="1">
        <v>2.3564087924E10</v>
      </c>
      <c r="G43" s="1">
        <v>-0.0138299169503642</v>
      </c>
      <c r="H43" s="1">
        <v>0.0379826512634835</v>
      </c>
      <c r="I43" s="1">
        <f t="shared" si="1"/>
        <v>0</v>
      </c>
      <c r="J43" s="1">
        <f t="shared" si="2"/>
        <v>0</v>
      </c>
    </row>
    <row r="44" ht="16.5" customHeight="1">
      <c r="A44" s="5" t="s">
        <v>70</v>
      </c>
      <c r="B44" s="6" t="s">
        <v>66</v>
      </c>
      <c r="C44" s="5" t="s">
        <v>71</v>
      </c>
      <c r="D44" s="8">
        <v>4.1357497243E10</v>
      </c>
      <c r="E44" s="8">
        <v>1.062568908E9</v>
      </c>
      <c r="F44" s="1">
        <v>2.2923915866E10</v>
      </c>
      <c r="G44" s="1">
        <v>0.0463519807964383</v>
      </c>
      <c r="H44" s="1">
        <v>-0.0138299169503642</v>
      </c>
      <c r="I44" s="1">
        <f t="shared" si="1"/>
        <v>0</v>
      </c>
      <c r="J44" s="1">
        <f t="shared" si="2"/>
        <v>0</v>
      </c>
    </row>
    <row r="45" ht="16.5" customHeight="1">
      <c r="A45" s="5" t="s">
        <v>70</v>
      </c>
      <c r="B45" s="6" t="s">
        <v>67</v>
      </c>
      <c r="C45" s="5" t="s">
        <v>71</v>
      </c>
      <c r="D45" s="8">
        <v>4.2591881918E10</v>
      </c>
      <c r="E45" s="8">
        <v>3.371217712E9</v>
      </c>
      <c r="F45" s="1">
        <v>4.1357497243E10</v>
      </c>
      <c r="G45" s="1">
        <v>0.0815140648427559</v>
      </c>
      <c r="H45" s="1">
        <v>0.0463519807964383</v>
      </c>
      <c r="I45" s="1">
        <f t="shared" si="1"/>
        <v>0</v>
      </c>
      <c r="J45" s="1">
        <f t="shared" si="2"/>
        <v>0</v>
      </c>
    </row>
    <row r="46" ht="16.5" customHeight="1">
      <c r="A46" s="5" t="s">
        <v>70</v>
      </c>
      <c r="B46" s="6" t="s">
        <v>68</v>
      </c>
      <c r="C46" s="5" t="s">
        <v>71</v>
      </c>
      <c r="D46" s="8">
        <v>4.3502923976E10</v>
      </c>
      <c r="E46" s="8">
        <v>2.049707602E9</v>
      </c>
      <c r="F46" s="1">
        <v>4.2591881918E10</v>
      </c>
      <c r="G46" s="1">
        <v>0.0481243727606636</v>
      </c>
      <c r="H46" s="1">
        <v>0.0815140648427559</v>
      </c>
      <c r="I46" s="1">
        <f t="shared" si="1"/>
        <v>0</v>
      </c>
      <c r="J46" s="1">
        <f t="shared" si="2"/>
        <v>0</v>
      </c>
    </row>
    <row r="47" ht="16.5" customHeight="1">
      <c r="A47" s="5" t="s">
        <v>70</v>
      </c>
      <c r="B47" s="6" t="s">
        <v>69</v>
      </c>
      <c r="C47" s="5" t="s">
        <v>71</v>
      </c>
      <c r="D47" s="8">
        <v>4.7664468393E10</v>
      </c>
      <c r="E47" s="8">
        <v>1.870677175E9</v>
      </c>
      <c r="F47" s="1">
        <v>4.3502923976E10</v>
      </c>
      <c r="G47" s="1">
        <v>0.0430011825419374</v>
      </c>
      <c r="H47" s="1">
        <v>0.0481243727606636</v>
      </c>
      <c r="I47" s="1">
        <f t="shared" si="1"/>
        <v>0</v>
      </c>
      <c r="J47" s="1">
        <f t="shared" si="2"/>
        <v>0</v>
      </c>
    </row>
    <row r="48" ht="16.5" customHeight="1">
      <c r="A48" s="5" t="s">
        <v>72</v>
      </c>
      <c r="B48" s="6" t="s">
        <v>24</v>
      </c>
      <c r="C48" s="5" t="s">
        <v>73</v>
      </c>
      <c r="D48" s="8">
        <v>5.8399E7</v>
      </c>
      <c r="E48" s="8">
        <v>2863000.0</v>
      </c>
      <c r="F48" s="1">
        <v>3.2348E7</v>
      </c>
      <c r="G48" s="1">
        <v>0.0885062445900829</v>
      </c>
      <c r="H48" s="1">
        <v>0.130615490259858</v>
      </c>
      <c r="I48" s="1">
        <f t="shared" si="1"/>
        <v>0</v>
      </c>
      <c r="J48" s="1">
        <f t="shared" si="2"/>
        <v>0</v>
      </c>
    </row>
    <row r="49" ht="16.5" customHeight="1">
      <c r="A49" s="5" t="s">
        <v>72</v>
      </c>
      <c r="B49" s="6" t="s">
        <v>34</v>
      </c>
      <c r="C49" s="5" t="s">
        <v>73</v>
      </c>
      <c r="D49" s="8">
        <v>7.1055E7</v>
      </c>
      <c r="E49" s="8">
        <v>7895000.0</v>
      </c>
      <c r="F49" s="1">
        <v>5.8399E7</v>
      </c>
      <c r="G49" s="1">
        <v>0.135190671073135</v>
      </c>
      <c r="H49" s="1">
        <v>0.0885062445900829</v>
      </c>
      <c r="I49" s="1">
        <f t="shared" si="1"/>
        <v>0</v>
      </c>
      <c r="J49" s="1">
        <f t="shared" si="2"/>
        <v>0</v>
      </c>
    </row>
    <row r="50" ht="16.5" customHeight="1">
      <c r="A50" s="5" t="s">
        <v>72</v>
      </c>
      <c r="B50" s="6" t="s">
        <v>37</v>
      </c>
      <c r="C50" s="5" t="s">
        <v>73</v>
      </c>
      <c r="D50" s="8">
        <v>1.17969E8</v>
      </c>
      <c r="E50" s="8">
        <v>9044000.0</v>
      </c>
      <c r="F50" s="1">
        <v>7.1055E7</v>
      </c>
      <c r="G50" s="1">
        <v>0.127281683203152</v>
      </c>
      <c r="H50" s="1">
        <v>0.135190671073135</v>
      </c>
      <c r="I50" s="1">
        <f t="shared" si="1"/>
        <v>0</v>
      </c>
      <c r="J50" s="1">
        <f t="shared" si="2"/>
        <v>0</v>
      </c>
    </row>
    <row r="51" ht="16.5" customHeight="1">
      <c r="A51" s="5" t="s">
        <v>72</v>
      </c>
      <c r="B51" s="6" t="s">
        <v>43</v>
      </c>
      <c r="C51" s="5" t="s">
        <v>73</v>
      </c>
      <c r="D51" s="8">
        <v>1.61234E8</v>
      </c>
      <c r="E51" s="8">
        <v>1.9909E7</v>
      </c>
      <c r="F51" s="1">
        <v>1.17969E8</v>
      </c>
      <c r="G51" s="1">
        <v>0.168764675465588</v>
      </c>
      <c r="H51" s="1">
        <v>0.127281683203152</v>
      </c>
      <c r="I51" s="1">
        <f t="shared" si="1"/>
        <v>0</v>
      </c>
      <c r="J51" s="1">
        <f t="shared" si="2"/>
        <v>0</v>
      </c>
    </row>
    <row r="52" ht="16.5" customHeight="1">
      <c r="A52" s="5" t="s">
        <v>72</v>
      </c>
      <c r="B52" s="6" t="s">
        <v>47</v>
      </c>
      <c r="C52" s="5" t="s">
        <v>73</v>
      </c>
      <c r="D52" s="8">
        <v>3.84995E8</v>
      </c>
      <c r="E52" s="8">
        <v>1.5956E7</v>
      </c>
      <c r="F52" s="1">
        <v>1.61234E8</v>
      </c>
      <c r="G52" s="1">
        <v>0.0989617574457</v>
      </c>
      <c r="H52" s="1">
        <v>0.168764675465588</v>
      </c>
      <c r="I52" s="1">
        <f t="shared" si="1"/>
        <v>0</v>
      </c>
      <c r="J52" s="1">
        <f t="shared" si="2"/>
        <v>0</v>
      </c>
    </row>
    <row r="53" ht="16.5" customHeight="1">
      <c r="A53" s="5" t="s">
        <v>72</v>
      </c>
      <c r="B53" s="6" t="s">
        <v>48</v>
      </c>
      <c r="C53" s="5" t="s">
        <v>73</v>
      </c>
      <c r="D53" s="8">
        <v>1.438427E9</v>
      </c>
      <c r="E53" s="8">
        <v>1.9296E7</v>
      </c>
      <c r="F53" s="1">
        <v>3.84995E8</v>
      </c>
      <c r="G53" s="1">
        <v>0.0501201314302783</v>
      </c>
      <c r="H53" s="1">
        <v>0.0989617574457</v>
      </c>
      <c r="I53" s="1">
        <f t="shared" si="1"/>
        <v>0</v>
      </c>
      <c r="J53" s="1">
        <f t="shared" si="2"/>
        <v>0</v>
      </c>
    </row>
    <row r="54" ht="16.5" customHeight="1">
      <c r="A54" s="5" t="s">
        <v>72</v>
      </c>
      <c r="B54" s="6" t="s">
        <v>49</v>
      </c>
      <c r="C54" s="5" t="s">
        <v>73</v>
      </c>
      <c r="D54" s="8">
        <v>1.733818E9</v>
      </c>
      <c r="E54" s="8">
        <v>7.23322E7</v>
      </c>
      <c r="F54" s="1">
        <v>1.438427E9</v>
      </c>
      <c r="G54" s="1">
        <v>0.0502856245051018</v>
      </c>
      <c r="H54" s="1">
        <v>0.0501201314302783</v>
      </c>
      <c r="I54" s="1">
        <f t="shared" si="1"/>
        <v>0</v>
      </c>
      <c r="J54" s="1">
        <f t="shared" si="2"/>
        <v>0</v>
      </c>
    </row>
    <row r="55" ht="16.5" customHeight="1">
      <c r="A55" s="5" t="s">
        <v>72</v>
      </c>
      <c r="B55" s="6" t="s">
        <v>50</v>
      </c>
      <c r="C55" s="5" t="s">
        <v>73</v>
      </c>
      <c r="D55" s="8">
        <v>1.704776E9</v>
      </c>
      <c r="E55" s="8">
        <v>4.6582E7</v>
      </c>
      <c r="F55" s="1">
        <v>1.733818E9</v>
      </c>
      <c r="G55" s="1">
        <v>0.026866718421426</v>
      </c>
      <c r="H55" s="1">
        <v>0.0502856245051018</v>
      </c>
      <c r="I55" s="1">
        <f t="shared" si="1"/>
        <v>0</v>
      </c>
      <c r="J55" s="1">
        <f t="shared" si="2"/>
        <v>0</v>
      </c>
    </row>
    <row r="56" ht="16.5" customHeight="1">
      <c r="A56" s="5" t="s">
        <v>72</v>
      </c>
      <c r="B56" s="6" t="s">
        <v>51</v>
      </c>
      <c r="C56" s="5" t="s">
        <v>73</v>
      </c>
      <c r="D56" s="8">
        <v>2.2509E9</v>
      </c>
      <c r="E56" s="8">
        <v>-2.6402E7</v>
      </c>
      <c r="F56" s="1">
        <v>1.704776E9</v>
      </c>
      <c r="G56" s="1">
        <v>-0.0154870786543217</v>
      </c>
      <c r="H56" s="1">
        <v>0.026866718421426</v>
      </c>
      <c r="I56" s="1">
        <f t="shared" si="1"/>
        <v>0</v>
      </c>
      <c r="J56" s="1">
        <f t="shared" si="2"/>
        <v>0</v>
      </c>
    </row>
    <row r="57" ht="16.5" customHeight="1">
      <c r="A57" s="5" t="s">
        <v>72</v>
      </c>
      <c r="B57" s="6" t="s">
        <v>55</v>
      </c>
      <c r="C57" s="5" t="s">
        <v>73</v>
      </c>
      <c r="D57" s="8">
        <v>1.587834E9</v>
      </c>
      <c r="E57" s="8">
        <v>6.5436E7</v>
      </c>
      <c r="F57" s="1">
        <v>2.2509E9</v>
      </c>
      <c r="G57" s="1">
        <v>0.0290710382513661</v>
      </c>
      <c r="H57" s="1">
        <v>-0.0154870786543217</v>
      </c>
      <c r="I57" s="1">
        <f t="shared" si="1"/>
        <v>0</v>
      </c>
      <c r="J57" s="1">
        <f t="shared" si="2"/>
        <v>0</v>
      </c>
    </row>
    <row r="58" ht="16.5" customHeight="1">
      <c r="A58" s="5" t="s">
        <v>72</v>
      </c>
      <c r="B58" s="6" t="s">
        <v>57</v>
      </c>
      <c r="C58" s="5" t="s">
        <v>73</v>
      </c>
      <c r="D58" s="8">
        <v>2.148193E9</v>
      </c>
      <c r="E58" s="8">
        <v>1.22059E8</v>
      </c>
      <c r="F58" s="1">
        <v>1.587834E9</v>
      </c>
      <c r="G58" s="1">
        <v>0.076871385799775</v>
      </c>
      <c r="H58" s="1">
        <v>0.0290710382513661</v>
      </c>
      <c r="I58" s="1">
        <f t="shared" si="1"/>
        <v>0</v>
      </c>
      <c r="J58" s="1">
        <f t="shared" si="2"/>
        <v>0</v>
      </c>
    </row>
    <row r="59" ht="16.5" customHeight="1">
      <c r="A59" s="5" t="s">
        <v>72</v>
      </c>
      <c r="B59" s="6" t="s">
        <v>58</v>
      </c>
      <c r="C59" s="5" t="s">
        <v>73</v>
      </c>
      <c r="D59" s="8">
        <v>2.404788E9</v>
      </c>
      <c r="E59" s="8">
        <v>1.93882E8</v>
      </c>
      <c r="F59" s="1">
        <v>2.148193E9</v>
      </c>
      <c r="G59" s="1">
        <v>0.0902535293616542</v>
      </c>
      <c r="H59" s="1">
        <v>0.076871385799775</v>
      </c>
      <c r="I59" s="1">
        <f t="shared" si="1"/>
        <v>0</v>
      </c>
      <c r="J59" s="1">
        <f t="shared" si="2"/>
        <v>0</v>
      </c>
    </row>
    <row r="60" ht="16.5" customHeight="1">
      <c r="A60" s="5" t="s">
        <v>72</v>
      </c>
      <c r="B60" s="6" t="s">
        <v>59</v>
      </c>
      <c r="C60" s="5" t="s">
        <v>73</v>
      </c>
      <c r="D60" s="8">
        <v>2.654652E9</v>
      </c>
      <c r="E60" s="8">
        <v>2.5922E8</v>
      </c>
      <c r="F60" s="1">
        <v>2.404788E9</v>
      </c>
      <c r="G60" s="1">
        <v>0.107793285728305</v>
      </c>
      <c r="H60" s="1">
        <v>0.0902535293616542</v>
      </c>
      <c r="I60" s="1">
        <f t="shared" si="1"/>
        <v>0</v>
      </c>
      <c r="J60" s="1">
        <f t="shared" si="2"/>
        <v>0</v>
      </c>
    </row>
    <row r="61" ht="16.5" customHeight="1">
      <c r="A61" s="5" t="s">
        <v>72</v>
      </c>
      <c r="B61" s="6" t="s">
        <v>60</v>
      </c>
      <c r="C61" s="5" t="s">
        <v>73</v>
      </c>
      <c r="D61" s="8">
        <v>1.8364E9</v>
      </c>
      <c r="E61" s="8">
        <v>-2.7E8</v>
      </c>
      <c r="F61" s="1">
        <v>2.654652E9</v>
      </c>
      <c r="G61" s="1">
        <v>-0.101708246504627</v>
      </c>
      <c r="H61" s="1">
        <v>0.107793285728305</v>
      </c>
      <c r="I61" s="1">
        <f t="shared" si="1"/>
        <v>0</v>
      </c>
      <c r="J61" s="1">
        <f t="shared" si="2"/>
        <v>0</v>
      </c>
    </row>
    <row r="62" ht="16.5" customHeight="1">
      <c r="A62" s="5" t="s">
        <v>72</v>
      </c>
      <c r="B62" s="6" t="s">
        <v>61</v>
      </c>
      <c r="C62" s="5" t="s">
        <v>73</v>
      </c>
      <c r="D62" s="8">
        <v>1.6255E9</v>
      </c>
      <c r="E62" s="8">
        <v>-5.184E8</v>
      </c>
      <c r="F62" s="1">
        <v>1.8364E9</v>
      </c>
      <c r="G62" s="1">
        <v>-0.28229143977347</v>
      </c>
      <c r="H62" s="1">
        <v>-0.101708246504627</v>
      </c>
      <c r="I62" s="1">
        <f t="shared" si="1"/>
        <v>0</v>
      </c>
      <c r="J62" s="1">
        <f t="shared" si="2"/>
        <v>0</v>
      </c>
    </row>
    <row r="63" ht="16.5" customHeight="1">
      <c r="A63" s="5" t="s">
        <v>72</v>
      </c>
      <c r="B63" s="6" t="s">
        <v>62</v>
      </c>
      <c r="C63" s="5" t="s">
        <v>73</v>
      </c>
      <c r="D63" s="8">
        <v>1.8931E9</v>
      </c>
      <c r="E63" s="8">
        <v>3.212E8</v>
      </c>
      <c r="F63" s="1">
        <v>1.6255E9</v>
      </c>
      <c r="G63" s="1">
        <v>0.197600738234389</v>
      </c>
      <c r="H63" s="1">
        <v>-0.28229143977347</v>
      </c>
      <c r="I63" s="1">
        <f t="shared" si="1"/>
        <v>0</v>
      </c>
      <c r="J63" s="1">
        <f t="shared" si="2"/>
        <v>0</v>
      </c>
    </row>
    <row r="64" ht="16.5" customHeight="1">
      <c r="A64" s="5" t="s">
        <v>72</v>
      </c>
      <c r="B64" s="6" t="s">
        <v>63</v>
      </c>
      <c r="C64" s="5" t="s">
        <v>73</v>
      </c>
      <c r="D64" s="8">
        <v>4.0768E9</v>
      </c>
      <c r="E64" s="8">
        <v>2.514E8</v>
      </c>
      <c r="F64" s="1">
        <v>1.8931E9</v>
      </c>
      <c r="G64" s="1">
        <v>0.132798056098463</v>
      </c>
      <c r="H64" s="1">
        <v>0.197600738234389</v>
      </c>
      <c r="I64" s="1">
        <f t="shared" si="1"/>
        <v>0</v>
      </c>
      <c r="J64" s="1">
        <f t="shared" si="2"/>
        <v>0</v>
      </c>
    </row>
    <row r="65" ht="16.5" customHeight="1">
      <c r="A65" s="5" t="s">
        <v>72</v>
      </c>
      <c r="B65" s="6" t="s">
        <v>64</v>
      </c>
      <c r="C65" s="5" t="s">
        <v>73</v>
      </c>
      <c r="D65" s="8">
        <v>3.9139E9</v>
      </c>
      <c r="E65" s="8">
        <v>5.789E8</v>
      </c>
      <c r="F65" s="1">
        <v>4.0768E9</v>
      </c>
      <c r="G65" s="1">
        <v>0.141998626373626</v>
      </c>
      <c r="H65" s="1">
        <v>0.132798056098463</v>
      </c>
      <c r="I65" s="1">
        <f t="shared" si="1"/>
        <v>0</v>
      </c>
      <c r="J65" s="1">
        <f t="shared" si="2"/>
        <v>0</v>
      </c>
    </row>
    <row r="66" ht="16.5" customHeight="1">
      <c r="A66" s="5" t="s">
        <v>72</v>
      </c>
      <c r="B66" s="6" t="s">
        <v>65</v>
      </c>
      <c r="C66" s="5" t="s">
        <v>73</v>
      </c>
      <c r="D66" s="8">
        <v>4.2152E9</v>
      </c>
      <c r="E66" s="8">
        <v>4.832E8</v>
      </c>
      <c r="F66" s="1">
        <v>3.9139E9</v>
      </c>
      <c r="G66" s="1">
        <v>0.12345742098674</v>
      </c>
      <c r="H66" s="1">
        <v>0.141998626373626</v>
      </c>
      <c r="I66" s="1">
        <f t="shared" si="1"/>
        <v>0</v>
      </c>
      <c r="J66" s="1">
        <f t="shared" si="2"/>
        <v>0</v>
      </c>
    </row>
    <row r="67" ht="16.5" customHeight="1">
      <c r="A67" s="5" t="s">
        <v>72</v>
      </c>
      <c r="B67" s="6" t="s">
        <v>66</v>
      </c>
      <c r="C67" s="5" t="s">
        <v>73</v>
      </c>
      <c r="D67" s="8">
        <v>4.6792E9</v>
      </c>
      <c r="E67" s="8">
        <v>3.067E8</v>
      </c>
      <c r="F67" s="1">
        <v>4.2152E9</v>
      </c>
      <c r="G67" s="1">
        <v>0.0727604858606946</v>
      </c>
      <c r="H67" s="1">
        <v>0.12345742098674</v>
      </c>
      <c r="I67" s="1">
        <f t="shared" si="1"/>
        <v>0</v>
      </c>
      <c r="J67" s="1">
        <f t="shared" si="2"/>
        <v>0</v>
      </c>
    </row>
    <row r="68" ht="16.5" customHeight="1">
      <c r="A68" s="5" t="s">
        <v>72</v>
      </c>
      <c r="B68" s="6" t="s">
        <v>67</v>
      </c>
      <c r="C68" s="5" t="s">
        <v>73</v>
      </c>
      <c r="D68" s="8">
        <v>5.1021E9</v>
      </c>
      <c r="E68" s="8">
        <v>5.036E8</v>
      </c>
      <c r="F68" s="1">
        <v>4.6792E9</v>
      </c>
      <c r="G68" s="1">
        <v>0.10762523508292</v>
      </c>
      <c r="H68" s="1">
        <v>0.0727604858606946</v>
      </c>
      <c r="I68" s="1">
        <f t="shared" si="1"/>
        <v>0</v>
      </c>
      <c r="J68" s="1">
        <f t="shared" si="2"/>
        <v>0</v>
      </c>
    </row>
    <row r="69" ht="16.5" customHeight="1">
      <c r="A69" s="5" t="s">
        <v>72</v>
      </c>
      <c r="B69" s="6" t="s">
        <v>68</v>
      </c>
      <c r="C69" s="5" t="s">
        <v>73</v>
      </c>
      <c r="D69" s="8">
        <v>5.8949E9</v>
      </c>
      <c r="E69" s="8">
        <v>3.83E8</v>
      </c>
      <c r="F69" s="1">
        <v>5.1021E9</v>
      </c>
      <c r="G69" s="1">
        <v>0.075067129221301</v>
      </c>
      <c r="H69" s="1">
        <v>0.10762523508292</v>
      </c>
      <c r="I69" s="1">
        <f t="shared" si="1"/>
        <v>0</v>
      </c>
      <c r="J69" s="1">
        <f t="shared" si="2"/>
        <v>0</v>
      </c>
    </row>
    <row r="70" ht="16.5" customHeight="1">
      <c r="A70" s="5" t="s">
        <v>72</v>
      </c>
      <c r="B70" s="6" t="s">
        <v>69</v>
      </c>
      <c r="C70" s="5" t="s">
        <v>73</v>
      </c>
      <c r="D70" s="8">
        <v>5.4992E9</v>
      </c>
      <c r="E70" s="8">
        <v>-4.483E8</v>
      </c>
      <c r="F70" s="1">
        <v>5.8949E9</v>
      </c>
      <c r="G70" s="1">
        <v>-0.0760487879353339</v>
      </c>
      <c r="H70" s="1">
        <v>0.075067129221301</v>
      </c>
      <c r="I70" s="1">
        <f t="shared" si="1"/>
        <v>0</v>
      </c>
      <c r="J70" s="1">
        <f t="shared" si="2"/>
        <v>0</v>
      </c>
    </row>
    <row r="71" ht="16.5" customHeight="1">
      <c r="A71" s="5" t="s">
        <v>74</v>
      </c>
      <c r="B71" s="6" t="s">
        <v>24</v>
      </c>
      <c r="C71" s="5" t="s">
        <v>75</v>
      </c>
      <c r="D71" s="8">
        <v>2.957934E9</v>
      </c>
      <c r="E71" s="8">
        <v>1.336E8</v>
      </c>
      <c r="F71" s="1">
        <v>2.828826E9</v>
      </c>
      <c r="G71" s="1">
        <v>0.0472280727057797</v>
      </c>
      <c r="H71" s="1">
        <v>0.0464443489325047</v>
      </c>
      <c r="I71" s="1">
        <f t="shared" si="1"/>
        <v>0</v>
      </c>
      <c r="J71" s="1">
        <f t="shared" si="2"/>
        <v>0</v>
      </c>
    </row>
    <row r="72" ht="16.5" customHeight="1">
      <c r="A72" s="5" t="s">
        <v>74</v>
      </c>
      <c r="B72" s="6" t="s">
        <v>34</v>
      </c>
      <c r="C72" s="5" t="s">
        <v>75</v>
      </c>
      <c r="D72" s="8">
        <v>3.408741E9</v>
      </c>
      <c r="E72" s="8">
        <v>1.66303E8</v>
      </c>
      <c r="F72" s="1">
        <v>2.957934E9</v>
      </c>
      <c r="G72" s="1">
        <v>0.0562226878625419</v>
      </c>
      <c r="H72" s="1">
        <v>0.0472280727057797</v>
      </c>
      <c r="I72" s="1">
        <f t="shared" si="1"/>
        <v>0</v>
      </c>
      <c r="J72" s="1">
        <f t="shared" si="2"/>
        <v>0</v>
      </c>
    </row>
    <row r="73" ht="16.5" customHeight="1">
      <c r="A73" s="5" t="s">
        <v>74</v>
      </c>
      <c r="B73" s="6" t="s">
        <v>37</v>
      </c>
      <c r="C73" s="5" t="s">
        <v>75</v>
      </c>
      <c r="D73" s="8">
        <v>3.707346E9</v>
      </c>
      <c r="E73" s="8">
        <v>1.8809E8</v>
      </c>
      <c r="F73" s="1">
        <v>3.408741E9</v>
      </c>
      <c r="G73" s="1">
        <v>0.0551787302115356</v>
      </c>
      <c r="H73" s="1">
        <v>0.0562226878625419</v>
      </c>
      <c r="I73" s="1">
        <f t="shared" si="1"/>
        <v>0</v>
      </c>
      <c r="J73" s="1">
        <f t="shared" si="2"/>
        <v>0</v>
      </c>
    </row>
    <row r="74" ht="16.5" customHeight="1">
      <c r="A74" s="5" t="s">
        <v>74</v>
      </c>
      <c r="B74" s="6">
        <v>2005.0</v>
      </c>
      <c r="C74" s="5" t="s">
        <v>75</v>
      </c>
      <c r="D74" s="8">
        <v>8.014663E9</v>
      </c>
      <c r="E74" s="8">
        <v>3.25671E8</v>
      </c>
      <c r="F74" s="1">
        <v>3.707346E9</v>
      </c>
      <c r="G74" s="1">
        <v>0.0878447816847955</v>
      </c>
      <c r="H74" s="1">
        <v>0.0551787302115356</v>
      </c>
      <c r="I74" s="1">
        <f t="shared" si="1"/>
        <v>0</v>
      </c>
      <c r="J74" s="1">
        <f t="shared" si="2"/>
        <v>0</v>
      </c>
    </row>
    <row r="75" ht="16.5" customHeight="1">
      <c r="A75" s="5" t="s">
        <v>74</v>
      </c>
      <c r="B75" s="6">
        <v>2006.0</v>
      </c>
      <c r="C75" s="5" t="s">
        <v>75</v>
      </c>
      <c r="D75" s="8">
        <v>8.664927E9</v>
      </c>
      <c r="E75" s="8">
        <v>4.288098E8</v>
      </c>
      <c r="F75" s="1">
        <v>8.014663E9</v>
      </c>
      <c r="G75" s="1">
        <v>0.0535031603948912</v>
      </c>
      <c r="H75" s="1">
        <v>0.0878447816847955</v>
      </c>
      <c r="I75" s="1">
        <f t="shared" si="1"/>
        <v>0</v>
      </c>
      <c r="J75" s="1">
        <f t="shared" si="2"/>
        <v>0</v>
      </c>
    </row>
    <row r="76" ht="16.5" customHeight="1">
      <c r="A76" s="5" t="s">
        <v>74</v>
      </c>
      <c r="B76" s="6">
        <v>2007.0</v>
      </c>
      <c r="C76" s="5" t="s">
        <v>75</v>
      </c>
      <c r="D76" s="8">
        <v>1.4782277E10</v>
      </c>
      <c r="E76" s="8">
        <v>3.75484E8</v>
      </c>
      <c r="F76" s="1">
        <v>8.664927E9</v>
      </c>
      <c r="G76" s="1">
        <v>0.0433337753451356</v>
      </c>
      <c r="H76" s="1">
        <v>0.0535031603948912</v>
      </c>
      <c r="I76" s="1">
        <f t="shared" si="1"/>
        <v>0</v>
      </c>
      <c r="J76" s="1">
        <f t="shared" si="2"/>
        <v>0</v>
      </c>
    </row>
    <row r="77" ht="16.5" customHeight="1">
      <c r="A77" s="5" t="s">
        <v>74</v>
      </c>
      <c r="B77" s="6">
        <v>2008.0</v>
      </c>
      <c r="C77" s="5" t="s">
        <v>75</v>
      </c>
      <c r="D77" s="8">
        <v>1.2583497E10</v>
      </c>
      <c r="E77" s="8">
        <v>6.29014E8</v>
      </c>
      <c r="F77" s="1">
        <v>1.4782277E10</v>
      </c>
      <c r="G77" s="1">
        <v>0.0425519018484094</v>
      </c>
      <c r="H77" s="1">
        <v>0.0433337753451356</v>
      </c>
      <c r="I77" s="1">
        <f t="shared" si="1"/>
        <v>0</v>
      </c>
      <c r="J77" s="1">
        <f t="shared" si="2"/>
        <v>0</v>
      </c>
    </row>
    <row r="78" ht="16.5" customHeight="1">
      <c r="A78" s="5" t="s">
        <v>74</v>
      </c>
      <c r="B78" s="6">
        <v>2009.0</v>
      </c>
      <c r="C78" s="5" t="s">
        <v>75</v>
      </c>
      <c r="D78" s="8">
        <v>2.2102E10</v>
      </c>
      <c r="E78" s="8">
        <v>5.87E8</v>
      </c>
      <c r="F78" s="1">
        <v>1.2583497E10</v>
      </c>
      <c r="G78" s="1">
        <v>0.0466483998843883</v>
      </c>
      <c r="H78" s="1">
        <v>0.0425519018484094</v>
      </c>
      <c r="I78" s="1">
        <f t="shared" si="1"/>
        <v>0</v>
      </c>
      <c r="J78" s="1">
        <f t="shared" si="2"/>
        <v>0</v>
      </c>
    </row>
    <row r="79" ht="16.5" customHeight="1">
      <c r="A79" s="5" t="s">
        <v>74</v>
      </c>
      <c r="B79" s="6">
        <v>2010.0</v>
      </c>
      <c r="C79" s="5" t="s">
        <v>75</v>
      </c>
      <c r="D79" s="8">
        <v>2.1834E10</v>
      </c>
      <c r="E79" s="8">
        <v>6.8E8</v>
      </c>
      <c r="F79" s="1">
        <v>2.2102E10</v>
      </c>
      <c r="G79" s="1">
        <v>0.0307664464754321</v>
      </c>
      <c r="H79" s="1">
        <v>0.0466483998843883</v>
      </c>
      <c r="I79" s="1">
        <f t="shared" si="1"/>
        <v>0</v>
      </c>
      <c r="J79" s="1">
        <f t="shared" si="2"/>
        <v>0</v>
      </c>
    </row>
    <row r="80" ht="16.5" customHeight="1">
      <c r="A80" s="5" t="s">
        <v>74</v>
      </c>
      <c r="B80" s="6">
        <v>2011.0</v>
      </c>
      <c r="C80" s="5" t="s">
        <v>75</v>
      </c>
      <c r="D80" s="8">
        <v>2.664E10</v>
      </c>
      <c r="E80" s="8">
        <v>7.35E8</v>
      </c>
      <c r="F80" s="1">
        <v>2.1834E10</v>
      </c>
      <c r="G80" s="1">
        <v>0.0336630942566639</v>
      </c>
      <c r="H80" s="1">
        <v>0.0307664464754321</v>
      </c>
      <c r="I80" s="1">
        <f t="shared" si="1"/>
        <v>0</v>
      </c>
      <c r="J80" s="1">
        <f t="shared" si="2"/>
        <v>0</v>
      </c>
    </row>
    <row r="81" ht="16.5" customHeight="1">
      <c r="A81" s="5" t="s">
        <v>74</v>
      </c>
      <c r="B81" s="6">
        <v>2012.0</v>
      </c>
      <c r="C81" s="5" t="s">
        <v>75</v>
      </c>
      <c r="D81" s="8">
        <v>2.7981E10</v>
      </c>
      <c r="E81" s="8">
        <v>9.71E8</v>
      </c>
      <c r="F81" s="1">
        <v>2.664E10</v>
      </c>
      <c r="G81" s="1">
        <v>0.0364489489489489</v>
      </c>
      <c r="H81" s="1">
        <v>0.0336630942566639</v>
      </c>
      <c r="I81" s="1">
        <f t="shared" si="1"/>
        <v>0</v>
      </c>
      <c r="J81" s="1">
        <f t="shared" si="2"/>
        <v>0</v>
      </c>
    </row>
    <row r="82" ht="16.5" customHeight="1">
      <c r="A82" s="5" t="s">
        <v>74</v>
      </c>
      <c r="B82" s="6">
        <v>2013.0</v>
      </c>
      <c r="C82" s="5" t="s">
        <v>75</v>
      </c>
      <c r="D82" s="8">
        <v>2.9586E10</v>
      </c>
      <c r="E82" s="8">
        <v>8.43E8</v>
      </c>
      <c r="F82" s="1">
        <v>2.7981E10</v>
      </c>
      <c r="G82" s="1">
        <v>0.0301275865766056</v>
      </c>
      <c r="H82" s="1">
        <v>0.0364489489489489</v>
      </c>
      <c r="I82" s="1">
        <f t="shared" si="1"/>
        <v>0</v>
      </c>
      <c r="J82" s="1">
        <f t="shared" si="2"/>
        <v>0</v>
      </c>
    </row>
    <row r="83" ht="16.5" customHeight="1">
      <c r="A83" s="5" t="s">
        <v>74</v>
      </c>
      <c r="B83" s="6">
        <v>2014.0</v>
      </c>
      <c r="C83" s="5" t="s">
        <v>75</v>
      </c>
      <c r="D83" s="8">
        <v>3.1139E10</v>
      </c>
      <c r="E83" s="8">
        <v>8.21E8</v>
      </c>
      <c r="F83" s="1">
        <v>2.9586E10</v>
      </c>
      <c r="G83" s="1">
        <v>0.0277496113026431</v>
      </c>
      <c r="H83" s="1">
        <v>0.0301275865766056</v>
      </c>
      <c r="I83" s="1">
        <f t="shared" si="1"/>
        <v>0</v>
      </c>
      <c r="J83" s="1">
        <f t="shared" si="2"/>
        <v>0</v>
      </c>
    </row>
    <row r="84" ht="16.5" customHeight="1">
      <c r="A84" s="5" t="s">
        <v>74</v>
      </c>
      <c r="B84" s="6">
        <v>2015.0</v>
      </c>
      <c r="C84" s="5" t="s">
        <v>75</v>
      </c>
      <c r="D84" s="8">
        <v>3.3367E10</v>
      </c>
      <c r="E84" s="8">
        <v>9.03E8</v>
      </c>
      <c r="F84" s="1">
        <v>3.1139E10</v>
      </c>
      <c r="G84" s="1">
        <v>0.0289990044638556</v>
      </c>
      <c r="H84" s="1">
        <v>0.0277496113026431</v>
      </c>
      <c r="I84" s="1">
        <f t="shared" si="1"/>
        <v>0</v>
      </c>
      <c r="J84" s="1">
        <f t="shared" si="2"/>
        <v>0</v>
      </c>
    </row>
    <row r="85" ht="16.5" customHeight="1">
      <c r="A85" s="5" t="s">
        <v>74</v>
      </c>
      <c r="B85" s="6">
        <v>2016.0</v>
      </c>
      <c r="C85" s="5" t="s">
        <v>75</v>
      </c>
      <c r="D85" s="8">
        <v>2.8898E10</v>
      </c>
      <c r="E85" s="8">
        <v>3.16E8</v>
      </c>
      <c r="F85" s="1">
        <v>3.3367E10</v>
      </c>
      <c r="G85" s="1">
        <v>0.0094704348607906</v>
      </c>
      <c r="H85" s="1">
        <v>0.0289990044638556</v>
      </c>
      <c r="I85" s="1">
        <f t="shared" si="1"/>
        <v>0</v>
      </c>
      <c r="J85" s="1">
        <f t="shared" si="2"/>
        <v>0</v>
      </c>
    </row>
    <row r="86" ht="16.5" customHeight="1">
      <c r="A86" s="5" t="s">
        <v>74</v>
      </c>
      <c r="B86" s="6">
        <v>2017.0</v>
      </c>
      <c r="C86" s="5" t="s">
        <v>75</v>
      </c>
      <c r="D86" s="8">
        <v>2.5199E10</v>
      </c>
      <c r="E86" s="8">
        <v>8.23E8</v>
      </c>
      <c r="F86" s="1">
        <v>2.8898E10</v>
      </c>
      <c r="G86" s="1">
        <v>0.0284794795487577</v>
      </c>
      <c r="H86" s="1">
        <v>0.0094704348607906</v>
      </c>
      <c r="I86" s="1">
        <f t="shared" si="1"/>
        <v>0</v>
      </c>
      <c r="J86" s="1">
        <f t="shared" si="2"/>
        <v>0</v>
      </c>
    </row>
    <row r="87" ht="16.5" customHeight="1">
      <c r="A87" s="5" t="s">
        <v>74</v>
      </c>
      <c r="B87" s="6">
        <v>2018.0</v>
      </c>
      <c r="C87" s="5" t="s">
        <v>75</v>
      </c>
      <c r="D87" s="8">
        <v>2.4257E10</v>
      </c>
      <c r="E87" s="8">
        <v>6.38E8</v>
      </c>
      <c r="F87" s="1">
        <v>2.5199E10</v>
      </c>
      <c r="G87" s="1">
        <v>0.0253184650184531</v>
      </c>
      <c r="H87" s="1">
        <v>0.0284794795487577</v>
      </c>
      <c r="I87" s="1">
        <f t="shared" si="1"/>
        <v>0</v>
      </c>
      <c r="J87" s="1">
        <f t="shared" si="2"/>
        <v>0</v>
      </c>
    </row>
    <row r="88" ht="16.5" customHeight="1">
      <c r="A88" s="5" t="s">
        <v>74</v>
      </c>
      <c r="B88" s="6">
        <v>2019.0</v>
      </c>
      <c r="C88" s="5" t="s">
        <v>75</v>
      </c>
      <c r="D88" s="8">
        <v>2.5743E10</v>
      </c>
      <c r="E88" s="8">
        <v>1.17E9</v>
      </c>
      <c r="F88" s="1">
        <v>2.4257E10</v>
      </c>
      <c r="G88" s="1">
        <v>0.0482334996083605</v>
      </c>
      <c r="H88" s="1">
        <v>0.0253184650184531</v>
      </c>
      <c r="I88" s="1">
        <f t="shared" si="1"/>
        <v>0</v>
      </c>
      <c r="J88" s="1">
        <f t="shared" si="2"/>
        <v>0</v>
      </c>
    </row>
    <row r="89" ht="16.5" customHeight="1">
      <c r="A89" s="5" t="s">
        <v>74</v>
      </c>
      <c r="B89" s="6">
        <v>2020.0</v>
      </c>
      <c r="C89" s="5" t="s">
        <v>75</v>
      </c>
      <c r="D89" s="8">
        <v>2.5093E10</v>
      </c>
      <c r="E89" s="8">
        <v>8.46E8</v>
      </c>
      <c r="F89" s="1">
        <v>2.5743E10</v>
      </c>
      <c r="G89" s="1">
        <v>0.0328633026453793</v>
      </c>
      <c r="H89" s="1">
        <v>0.0482334996083605</v>
      </c>
      <c r="I89" s="1">
        <f t="shared" si="1"/>
        <v>0</v>
      </c>
      <c r="J89" s="1">
        <f t="shared" si="2"/>
        <v>0</v>
      </c>
    </row>
    <row r="90" ht="16.5" customHeight="1">
      <c r="A90" s="5" t="s">
        <v>74</v>
      </c>
      <c r="B90" s="6">
        <v>2021.0</v>
      </c>
      <c r="C90" s="5" t="s">
        <v>75</v>
      </c>
      <c r="D90" s="8">
        <v>2.1037E10</v>
      </c>
      <c r="E90" s="8">
        <v>-4.37E8</v>
      </c>
      <c r="F90" s="1">
        <v>2.5093E10</v>
      </c>
      <c r="G90" s="1">
        <v>-0.0174152153987168</v>
      </c>
      <c r="H90" s="1">
        <v>0.0328633026453793</v>
      </c>
      <c r="I90" s="1">
        <f t="shared" si="1"/>
        <v>0</v>
      </c>
      <c r="J90" s="1">
        <f t="shared" si="2"/>
        <v>0</v>
      </c>
    </row>
    <row r="91" ht="16.5" customHeight="1">
      <c r="A91" s="5" t="s">
        <v>74</v>
      </c>
      <c r="B91" s="6">
        <v>2022.0</v>
      </c>
      <c r="C91" s="5" t="s">
        <v>75</v>
      </c>
      <c r="D91" s="8">
        <v>2.402E10</v>
      </c>
      <c r="E91" s="8">
        <v>7.82E8</v>
      </c>
      <c r="F91" s="1">
        <v>2.1037E10</v>
      </c>
      <c r="G91" s="1">
        <v>0.0371726006559871</v>
      </c>
      <c r="H91" s="1">
        <v>-0.0174152153987168</v>
      </c>
      <c r="I91" s="1">
        <f t="shared" si="1"/>
        <v>0</v>
      </c>
      <c r="J91" s="1">
        <f t="shared" si="2"/>
        <v>0</v>
      </c>
    </row>
    <row r="92" ht="16.5" customHeight="1">
      <c r="A92" s="5" t="s">
        <v>74</v>
      </c>
      <c r="B92" s="6">
        <v>2023.0</v>
      </c>
      <c r="C92" s="5" t="s">
        <v>75</v>
      </c>
      <c r="D92" s="8">
        <v>1.8948E10</v>
      </c>
      <c r="E92" s="8">
        <v>1.146E9</v>
      </c>
      <c r="F92" s="1">
        <v>2.402E10</v>
      </c>
      <c r="G92" s="1">
        <v>0.0477102414654455</v>
      </c>
      <c r="H92" s="1">
        <v>0.0371726006559871</v>
      </c>
      <c r="I92" s="1">
        <f t="shared" si="1"/>
        <v>0</v>
      </c>
      <c r="J92" s="1">
        <f t="shared" si="2"/>
        <v>0</v>
      </c>
    </row>
    <row r="93" ht="16.5" customHeight="1">
      <c r="A93" s="5" t="s">
        <v>74</v>
      </c>
      <c r="B93" s="6">
        <v>2024.0</v>
      </c>
      <c r="C93" s="5" t="s">
        <v>75</v>
      </c>
      <c r="D93" s="8">
        <v>2.0454E10</v>
      </c>
      <c r="E93" s="8">
        <v>1.062E9</v>
      </c>
      <c r="F93" s="1">
        <v>1.8948E10</v>
      </c>
      <c r="G93" s="1">
        <v>0.0560481317289424</v>
      </c>
      <c r="H93" s="1">
        <v>0.0477102414654455</v>
      </c>
      <c r="I93" s="1">
        <f t="shared" si="1"/>
        <v>0</v>
      </c>
      <c r="J93" s="1">
        <f t="shared" si="2"/>
        <v>0</v>
      </c>
    </row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.0"/>
    <col customWidth="1" min="2" max="2" width="16.33"/>
    <col customWidth="1" min="3" max="6" width="10.89"/>
    <col customWidth="1" min="7" max="7" width="13.67"/>
    <col customWidth="1" min="8" max="10" width="10.89"/>
    <col customWidth="1" min="11" max="26" width="8.56"/>
  </cols>
  <sheetData>
    <row r="1" ht="16.5" customHeight="1">
      <c r="B1" s="1" t="s">
        <v>0</v>
      </c>
    </row>
    <row r="2" ht="16.5" customHeight="1"/>
    <row r="3" ht="16.5" customHeight="1">
      <c r="B3" s="3" t="s">
        <v>2</v>
      </c>
      <c r="C3" s="4"/>
    </row>
    <row r="4" ht="16.5" customHeight="1">
      <c r="B4" s="7" t="s">
        <v>13</v>
      </c>
      <c r="C4" s="7">
        <v>0.314259930001045</v>
      </c>
    </row>
    <row r="5" ht="16.5" customHeight="1">
      <c r="B5" s="7" t="s">
        <v>20</v>
      </c>
      <c r="C5" s="7">
        <v>0.0987593036042615</v>
      </c>
    </row>
    <row r="6" ht="16.5" customHeight="1">
      <c r="B6" s="7" t="s">
        <v>22</v>
      </c>
      <c r="C6" s="7">
        <v>0.0558430799663692</v>
      </c>
    </row>
    <row r="7" ht="16.5" customHeight="1">
      <c r="B7" s="7" t="s">
        <v>23</v>
      </c>
      <c r="C7" s="7">
        <v>0.0740997892413823</v>
      </c>
    </row>
    <row r="8" ht="16.5" customHeight="1">
      <c r="B8" s="9" t="s">
        <v>25</v>
      </c>
      <c r="C8" s="9">
        <v>23.0</v>
      </c>
    </row>
    <row r="9" ht="16.5" customHeight="1"/>
    <row r="10" ht="16.5" customHeight="1">
      <c r="B10" s="1" t="s">
        <v>27</v>
      </c>
    </row>
    <row r="11" ht="16.5" customHeight="1">
      <c r="B11" s="3"/>
      <c r="C11" s="3" t="s">
        <v>28</v>
      </c>
      <c r="D11" s="3" t="s">
        <v>29</v>
      </c>
      <c r="E11" s="3" t="s">
        <v>30</v>
      </c>
      <c r="F11" s="3" t="s">
        <v>31</v>
      </c>
      <c r="G11" s="3" t="s">
        <v>32</v>
      </c>
    </row>
    <row r="12" ht="16.5" customHeight="1">
      <c r="B12" s="7" t="s">
        <v>33</v>
      </c>
      <c r="C12" s="7">
        <v>1.0</v>
      </c>
      <c r="D12" s="7">
        <v>0.0126354427573316</v>
      </c>
      <c r="E12" s="7">
        <v>0.0126354427573316</v>
      </c>
      <c r="F12" s="7">
        <v>2.30121141220504</v>
      </c>
      <c r="G12" s="7">
        <v>0.144183497846388</v>
      </c>
    </row>
    <row r="13" ht="16.5" customHeight="1">
      <c r="B13" s="7" t="s">
        <v>35</v>
      </c>
      <c r="C13" s="7">
        <v>21.0</v>
      </c>
      <c r="D13" s="7">
        <v>0.115306354077963</v>
      </c>
      <c r="E13" s="7">
        <v>0.00549077876561727</v>
      </c>
      <c r="F13" s="7"/>
      <c r="G13" s="7"/>
    </row>
    <row r="14" ht="16.5" customHeight="1">
      <c r="B14" s="9" t="s">
        <v>36</v>
      </c>
      <c r="C14" s="9">
        <v>22.0</v>
      </c>
      <c r="D14" s="9">
        <v>0.127941796835294</v>
      </c>
      <c r="E14" s="9"/>
      <c r="F14" s="9"/>
      <c r="G14" s="9"/>
    </row>
    <row r="15" ht="16.5" customHeight="1"/>
    <row r="16" ht="16.5" customHeight="1">
      <c r="B16" s="3"/>
      <c r="C16" s="3" t="s">
        <v>38</v>
      </c>
      <c r="D16" s="3" t="s">
        <v>23</v>
      </c>
      <c r="E16" s="3" t="s">
        <v>39</v>
      </c>
      <c r="F16" s="3" t="s">
        <v>40</v>
      </c>
      <c r="G16" s="3" t="s">
        <v>41</v>
      </c>
      <c r="H16" s="3" t="s">
        <v>42</v>
      </c>
      <c r="I16" s="3" t="s">
        <v>44</v>
      </c>
      <c r="J16" s="3" t="s">
        <v>45</v>
      </c>
    </row>
    <row r="17" ht="16.5" customHeight="1">
      <c r="B17" s="7" t="s">
        <v>46</v>
      </c>
      <c r="C17" s="11">
        <v>0.0634955754258302</v>
      </c>
      <c r="D17" s="11">
        <v>0.0251852354652086</v>
      </c>
      <c r="E17" s="11">
        <v>2.5211428145488</v>
      </c>
      <c r="F17" s="11">
        <v>0.0198491522883516</v>
      </c>
      <c r="G17" s="11">
        <v>0.0111200110696559</v>
      </c>
      <c r="H17" s="11">
        <v>0.115871139782005</v>
      </c>
      <c r="I17" s="11">
        <v>0.0111200110696559</v>
      </c>
      <c r="J17" s="11">
        <v>0.115871139782005</v>
      </c>
    </row>
    <row r="18" ht="16.5" customHeight="1">
      <c r="B18" s="9" t="s">
        <v>21</v>
      </c>
      <c r="C18" s="12">
        <v>0.312738055308359</v>
      </c>
      <c r="D18" s="12">
        <v>0.206159082012074</v>
      </c>
      <c r="E18" s="12">
        <v>1.5169744270109</v>
      </c>
      <c r="F18" s="12">
        <v>0.144183497846388</v>
      </c>
      <c r="G18" s="12">
        <v>-0.115993225860299</v>
      </c>
      <c r="H18" s="12">
        <v>0.741469336477016</v>
      </c>
      <c r="I18" s="12">
        <v>-0.115993225860299</v>
      </c>
      <c r="J18" s="12">
        <v>0.741469336477016</v>
      </c>
    </row>
    <row r="19" ht="16.5" customHeight="1"/>
    <row r="20" ht="16.5" customHeight="1"/>
    <row r="21" ht="16.5" customHeight="1"/>
    <row r="22" ht="16.5" customHeight="1">
      <c r="B22" s="1" t="s">
        <v>52</v>
      </c>
    </row>
    <row r="23" ht="16.5" customHeight="1"/>
    <row r="24" ht="16.5" customHeight="1">
      <c r="B24" s="3" t="s">
        <v>53</v>
      </c>
      <c r="C24" s="3" t="s">
        <v>54</v>
      </c>
      <c r="D24" s="3" t="s">
        <v>56</v>
      </c>
    </row>
    <row r="25" ht="16.5" customHeight="1">
      <c r="B25" s="7">
        <v>1.0</v>
      </c>
      <c r="C25" s="7">
        <v>0.106345859074984</v>
      </c>
      <c r="D25" s="7">
        <v>0.0129378668480368</v>
      </c>
    </row>
    <row r="26" ht="16.5" customHeight="1">
      <c r="B26" s="7">
        <v>2.0</v>
      </c>
      <c r="C26" s="7">
        <v>0.100800135900931</v>
      </c>
      <c r="D26" s="7">
        <v>0.00431469339586693</v>
      </c>
    </row>
    <row r="27" ht="16.5" customHeight="1">
      <c r="B27" s="7">
        <v>3.0</v>
      </c>
      <c r="C27" s="7">
        <v>0.0963689827241809</v>
      </c>
      <c r="D27" s="7">
        <v>0.0397360579685901</v>
      </c>
    </row>
    <row r="28" ht="16.5" customHeight="1">
      <c r="B28" s="7">
        <v>4.0</v>
      </c>
      <c r="C28" s="7">
        <v>0.106060801169752</v>
      </c>
      <c r="D28" s="7">
        <v>0.0632041374651605</v>
      </c>
    </row>
    <row r="29" ht="16.5" customHeight="1">
      <c r="B29" s="7">
        <v>5.0</v>
      </c>
      <c r="C29" s="7">
        <v>0.116431163166402</v>
      </c>
      <c r="D29" s="7">
        <v>0.0838593362570044</v>
      </c>
    </row>
    <row r="30" ht="16.5" customHeight="1">
      <c r="B30" s="7">
        <v>6.0</v>
      </c>
      <c r="C30" s="7">
        <v>0.126134036712246</v>
      </c>
      <c r="D30" s="7">
        <v>0.0298896902492979</v>
      </c>
    </row>
    <row r="31" ht="16.5" customHeight="1">
      <c r="B31" s="7">
        <v>7.0</v>
      </c>
      <c r="C31" s="7">
        <v>0.112290132377746</v>
      </c>
      <c r="D31" s="7">
        <v>0.0712658799552452</v>
      </c>
    </row>
    <row r="32" ht="16.5" customHeight="1">
      <c r="B32" s="7">
        <v>8.0</v>
      </c>
      <c r="C32" s="7">
        <v>0.120900525763007</v>
      </c>
      <c r="D32" s="7">
        <v>-0.0294811406735836</v>
      </c>
    </row>
    <row r="33" ht="16.5" customHeight="1">
      <c r="B33" s="7">
        <v>9.0</v>
      </c>
      <c r="C33" s="7">
        <v>0.0920858961361824</v>
      </c>
      <c r="D33" s="7">
        <v>-0.0217817184165487</v>
      </c>
    </row>
    <row r="34" ht="16.5" customHeight="1">
      <c r="B34" s="7">
        <v>10.0</v>
      </c>
      <c r="C34" s="7">
        <v>0.0854823672459217</v>
      </c>
      <c r="D34" s="7">
        <v>-0.00337986759122692</v>
      </c>
    </row>
    <row r="35" ht="16.5" customHeight="1">
      <c r="B35" s="7">
        <v>11.0</v>
      </c>
      <c r="C35" s="7">
        <v>0.0891721515037947</v>
      </c>
      <c r="D35" s="7">
        <v>0.00209467126523973</v>
      </c>
    </row>
    <row r="36" ht="16.5" customHeight="1">
      <c r="B36" s="7">
        <v>12.0</v>
      </c>
      <c r="C36" s="7">
        <v>0.0920381840927907</v>
      </c>
      <c r="D36" s="7">
        <v>-0.00938711240098349</v>
      </c>
    </row>
    <row r="37" ht="16.5" customHeight="1">
      <c r="B37" s="7">
        <v>13.0</v>
      </c>
      <c r="C37" s="7">
        <v>0.0893437108558778</v>
      </c>
      <c r="D37" s="7">
        <v>0.0261312079294842</v>
      </c>
    </row>
    <row r="38" ht="16.5" customHeight="1">
      <c r="B38" s="7">
        <v>14.0</v>
      </c>
      <c r="C38" s="7">
        <v>0.099608976963655</v>
      </c>
      <c r="D38" s="7">
        <v>-0.0438546311256191</v>
      </c>
    </row>
    <row r="39" ht="16.5" customHeight="1">
      <c r="B39" s="7">
        <v>15.0</v>
      </c>
      <c r="C39" s="7">
        <v>0.0809320811182073</v>
      </c>
      <c r="D39" s="7">
        <v>-0.0397217678133972</v>
      </c>
    </row>
    <row r="40" ht="16.5" customHeight="1">
      <c r="B40" s="7">
        <v>16.0</v>
      </c>
      <c r="C40" s="7">
        <v>0.0763836086674247</v>
      </c>
      <c r="D40" s="7">
        <v>-0.0348246556657305</v>
      </c>
    </row>
    <row r="41" ht="16.5" customHeight="1">
      <c r="B41" s="7">
        <v>17.0</v>
      </c>
      <c r="C41" s="7">
        <v>0.0764926415682316</v>
      </c>
      <c r="D41" s="7">
        <v>-0.0108836329150415</v>
      </c>
    </row>
    <row r="42" ht="16.5" customHeight="1">
      <c r="B42" s="7">
        <v>18.0</v>
      </c>
      <c r="C42" s="7">
        <v>0.0840140092027382</v>
      </c>
      <c r="D42" s="7">
        <v>-0.0691749121519418</v>
      </c>
    </row>
    <row r="43" ht="16.5" customHeight="1">
      <c r="B43" s="7">
        <v>19.0</v>
      </c>
      <c r="C43" s="7">
        <v>0.0681363257800283</v>
      </c>
      <c r="D43" s="7">
        <v>-0.190606704272459</v>
      </c>
    </row>
    <row r="44" ht="16.5" customHeight="1">
      <c r="B44" s="7">
        <v>20.0</v>
      </c>
      <c r="C44" s="7">
        <v>0.0251944274232288</v>
      </c>
      <c r="D44" s="7">
        <v>0.0625749562592592</v>
      </c>
    </row>
    <row r="45" ht="16.5" customHeight="1">
      <c r="B45" s="7">
        <v>21.0</v>
      </c>
      <c r="C45" s="7">
        <v>0.0909444017943047</v>
      </c>
      <c r="D45" s="7">
        <v>0.175044898550851</v>
      </c>
    </row>
    <row r="46" ht="16.5" customHeight="1">
      <c r="B46" s="7">
        <v>22.0</v>
      </c>
      <c r="C46" s="7">
        <v>0.146680551948605</v>
      </c>
      <c r="D46" s="7">
        <v>-0.117927901715358</v>
      </c>
    </row>
    <row r="47" ht="16.5" customHeight="1">
      <c r="B47" s="9">
        <v>23.0</v>
      </c>
      <c r="C47" s="9">
        <v>0.0724876233447373</v>
      </c>
      <c r="D47" s="9">
        <v>-2.93514021461327E-5</v>
      </c>
    </row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3:C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6.78"/>
    <col customWidth="1" min="2" max="2" width="22.11"/>
    <col customWidth="1" min="3" max="3" width="13.33"/>
    <col customWidth="1" min="4" max="4" width="12.33"/>
    <col customWidth="1" min="5" max="5" width="11.67"/>
    <col customWidth="1" min="6" max="6" width="12.33"/>
    <col customWidth="1" min="7" max="7" width="11.67"/>
    <col customWidth="1" min="8" max="8" width="12.33"/>
    <col customWidth="1" min="9" max="9" width="11.67"/>
    <col customWidth="1" min="10" max="26" width="8.56"/>
  </cols>
  <sheetData>
    <row r="1" ht="16.5" customHeight="1">
      <c r="A1" s="1" t="s">
        <v>0</v>
      </c>
    </row>
    <row r="2" ht="16.5" customHeight="1"/>
    <row r="3" ht="16.5" customHeight="1">
      <c r="A3" s="3" t="s">
        <v>2</v>
      </c>
      <c r="B3" s="4"/>
    </row>
    <row r="4" ht="16.5" customHeight="1">
      <c r="A4" s="7" t="s">
        <v>13</v>
      </c>
      <c r="B4" s="5">
        <v>0.417022039625461</v>
      </c>
    </row>
    <row r="5" ht="16.5" customHeight="1">
      <c r="A5" s="7" t="s">
        <v>20</v>
      </c>
      <c r="B5" s="5">
        <v>0.17390738153338</v>
      </c>
    </row>
    <row r="6" ht="16.5" customHeight="1">
      <c r="A6" s="7" t="s">
        <v>22</v>
      </c>
      <c r="B6" s="5">
        <v>0.145745133176563</v>
      </c>
    </row>
    <row r="7" ht="16.5" customHeight="1">
      <c r="A7" s="7" t="s">
        <v>23</v>
      </c>
      <c r="B7" s="5">
        <v>0.0711824320871423</v>
      </c>
    </row>
    <row r="8" ht="16.5" customHeight="1">
      <c r="A8" s="9" t="s">
        <v>25</v>
      </c>
      <c r="B8" s="14">
        <v>92.0</v>
      </c>
    </row>
    <row r="9" ht="16.5" customHeight="1"/>
    <row r="10" ht="16.5" customHeight="1">
      <c r="A10" s="1" t="s">
        <v>27</v>
      </c>
    </row>
    <row r="11" ht="16.5" customHeight="1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ht="16.5" customHeight="1">
      <c r="A12" s="7" t="s">
        <v>33</v>
      </c>
      <c r="B12" s="5">
        <v>3.0</v>
      </c>
      <c r="C12" s="5">
        <v>0.0938680058210499</v>
      </c>
      <c r="D12" s="5">
        <v>0.0312893352736833</v>
      </c>
      <c r="E12" s="5">
        <v>6.17519522340572</v>
      </c>
      <c r="F12" s="5">
        <v>7.38974274926755E-4</v>
      </c>
    </row>
    <row r="13" ht="16.5" customHeight="1">
      <c r="A13" s="7" t="s">
        <v>35</v>
      </c>
      <c r="B13" s="5">
        <v>88.0</v>
      </c>
      <c r="C13" s="5">
        <v>0.445890600129975</v>
      </c>
      <c r="D13" s="5">
        <v>0.00506693863784062</v>
      </c>
      <c r="E13" s="5"/>
      <c r="F13" s="5"/>
    </row>
    <row r="14" ht="16.5" customHeight="1">
      <c r="A14" s="9" t="s">
        <v>36</v>
      </c>
      <c r="B14" s="14">
        <v>91.0</v>
      </c>
      <c r="C14" s="14">
        <v>0.539758605951025</v>
      </c>
      <c r="D14" s="14"/>
      <c r="E14" s="14"/>
      <c r="F14" s="14"/>
    </row>
    <row r="15" ht="16.5" customHeight="1"/>
    <row r="16" ht="16.5" customHeight="1">
      <c r="A16" s="3"/>
      <c r="B16" s="3" t="s">
        <v>38</v>
      </c>
      <c r="C16" s="3" t="s">
        <v>23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44</v>
      </c>
      <c r="I16" s="3" t="s">
        <v>45</v>
      </c>
    </row>
    <row r="17" ht="16.5" customHeight="1">
      <c r="A17" s="7" t="s">
        <v>46</v>
      </c>
      <c r="B17" s="15">
        <v>0.0282634842737055</v>
      </c>
      <c r="C17" s="15">
        <v>0.0102114847587798</v>
      </c>
      <c r="D17" s="15">
        <v>2.76781339260236</v>
      </c>
      <c r="E17" s="15">
        <v>0.00687942853494332</v>
      </c>
      <c r="F17" s="15">
        <v>0.00797030410770448</v>
      </c>
      <c r="G17" s="15">
        <v>0.0485566644397065</v>
      </c>
      <c r="H17" s="15">
        <v>0.00797030410770448</v>
      </c>
      <c r="I17" s="15">
        <v>0.0485566644397065</v>
      </c>
    </row>
    <row r="18" ht="16.5" customHeight="1">
      <c r="A18" s="7" t="s">
        <v>21</v>
      </c>
      <c r="B18" s="15">
        <v>0.321939245751851</v>
      </c>
      <c r="C18" s="15">
        <v>0.118105366722968</v>
      </c>
      <c r="D18" s="15">
        <v>2.72586466377099</v>
      </c>
      <c r="E18" s="15">
        <v>0.00773806203658311</v>
      </c>
      <c r="F18" s="15">
        <v>0.0872296474811289</v>
      </c>
      <c r="G18" s="15">
        <v>0.556648844022573</v>
      </c>
      <c r="H18" s="15">
        <v>0.0872296474811289</v>
      </c>
      <c r="I18" s="15">
        <v>0.556648844022573</v>
      </c>
    </row>
    <row r="19" ht="16.5" customHeight="1">
      <c r="A19" s="7" t="s">
        <v>15</v>
      </c>
      <c r="B19" s="15">
        <v>0.0352320911521247</v>
      </c>
      <c r="C19" s="15">
        <v>0.0262603958990663</v>
      </c>
      <c r="D19" s="15">
        <v>1.3416435642304</v>
      </c>
      <c r="E19" s="15">
        <v>0.183163507858969</v>
      </c>
      <c r="F19" s="15">
        <v>-0.0169549274645438</v>
      </c>
      <c r="G19" s="15">
        <v>0.0874191097687931</v>
      </c>
      <c r="H19" s="15">
        <v>-0.0169549274645438</v>
      </c>
      <c r="I19" s="15">
        <v>0.0874191097687931</v>
      </c>
    </row>
    <row r="20" ht="16.5" customHeight="1">
      <c r="A20" s="9" t="s">
        <v>18</v>
      </c>
      <c r="B20" s="16">
        <v>-0.0092011904434927</v>
      </c>
      <c r="C20" s="16">
        <v>0.230585548671149</v>
      </c>
      <c r="D20" s="16">
        <v>-0.0399035867447835</v>
      </c>
      <c r="E20" s="16">
        <v>0.96826038311983</v>
      </c>
      <c r="F20" s="16">
        <v>-0.467441514294202</v>
      </c>
      <c r="G20" s="16">
        <v>0.449039133407217</v>
      </c>
      <c r="H20" s="16">
        <v>-0.467441514294202</v>
      </c>
      <c r="I20" s="16">
        <v>0.449039133407217</v>
      </c>
    </row>
    <row r="21" ht="16.5" customHeight="1"/>
    <row r="22" ht="16.5" customHeight="1"/>
    <row r="23" ht="16.5" customHeight="1"/>
    <row r="24" ht="16.5" customHeight="1">
      <c r="A24" s="1" t="s">
        <v>52</v>
      </c>
    </row>
    <row r="25" ht="16.5" customHeight="1"/>
    <row r="26" ht="16.5" customHeight="1">
      <c r="A26" s="3" t="s">
        <v>53</v>
      </c>
      <c r="B26" s="3" t="s">
        <v>76</v>
      </c>
      <c r="C26" s="3" t="s">
        <v>56</v>
      </c>
    </row>
    <row r="27" ht="16.5" customHeight="1">
      <c r="A27" s="7">
        <v>1.0</v>
      </c>
      <c r="B27" s="7">
        <v>0.106345859074984</v>
      </c>
      <c r="C27" s="7">
        <v>0.0129378668480369</v>
      </c>
    </row>
    <row r="28" ht="16.5" customHeight="1">
      <c r="A28" s="7">
        <v>2.0</v>
      </c>
      <c r="B28" s="7">
        <v>0.100800135900931</v>
      </c>
      <c r="C28" s="7">
        <v>0.00431469339586701</v>
      </c>
    </row>
    <row r="29" ht="16.5" customHeight="1">
      <c r="A29" s="7">
        <v>3.0</v>
      </c>
      <c r="B29" s="7">
        <v>0.0963689827241809</v>
      </c>
      <c r="C29" s="7">
        <v>0.0397360579685901</v>
      </c>
    </row>
    <row r="30" ht="16.5" customHeight="1">
      <c r="A30" s="7">
        <v>4.0</v>
      </c>
      <c r="B30" s="7">
        <v>0.106060801169752</v>
      </c>
      <c r="C30" s="7">
        <v>0.0632041374651606</v>
      </c>
    </row>
    <row r="31" ht="16.5" customHeight="1">
      <c r="A31" s="7">
        <v>5.0</v>
      </c>
      <c r="B31" s="7">
        <v>0.116431163166401</v>
      </c>
      <c r="C31" s="7">
        <v>0.0838593362570045</v>
      </c>
    </row>
    <row r="32" ht="16.5" customHeight="1">
      <c r="A32" s="7">
        <v>6.0</v>
      </c>
      <c r="B32" s="7">
        <v>0.126134036712246</v>
      </c>
      <c r="C32" s="7">
        <v>0.029889690249298</v>
      </c>
    </row>
    <row r="33" ht="16.5" customHeight="1">
      <c r="A33" s="7">
        <v>7.0</v>
      </c>
      <c r="B33" s="7">
        <v>0.112290132377746</v>
      </c>
      <c r="C33" s="7">
        <v>0.0712658799552453</v>
      </c>
    </row>
    <row r="34" ht="16.5" customHeight="1">
      <c r="A34" s="7">
        <v>8.0</v>
      </c>
      <c r="B34" s="7">
        <v>0.120900525763007</v>
      </c>
      <c r="C34" s="7">
        <v>-0.0294811406735835</v>
      </c>
    </row>
    <row r="35" ht="16.5" customHeight="1">
      <c r="A35" s="7">
        <v>9.0</v>
      </c>
      <c r="B35" s="7">
        <v>0.0920858961361824</v>
      </c>
      <c r="C35" s="7">
        <v>-0.0217817184165487</v>
      </c>
    </row>
    <row r="36" ht="16.5" customHeight="1">
      <c r="A36" s="7">
        <v>10.0</v>
      </c>
      <c r="B36" s="7">
        <v>0.0854823672459216</v>
      </c>
      <c r="C36" s="7">
        <v>-0.00337986759122684</v>
      </c>
    </row>
    <row r="37" ht="16.5" customHeight="1">
      <c r="A37" s="7">
        <v>11.0</v>
      </c>
      <c r="B37" s="7">
        <v>0.0891721515037946</v>
      </c>
      <c r="C37" s="7">
        <v>0.00209467126523981</v>
      </c>
    </row>
    <row r="38" ht="16.5" customHeight="1">
      <c r="A38" s="7">
        <v>12.0</v>
      </c>
      <c r="B38" s="7">
        <v>0.0920381840927906</v>
      </c>
      <c r="C38" s="7">
        <v>-0.0093871124009834</v>
      </c>
    </row>
    <row r="39" ht="16.5" customHeight="1">
      <c r="A39" s="7">
        <v>13.0</v>
      </c>
      <c r="B39" s="7">
        <v>0.0893437108558777</v>
      </c>
      <c r="C39" s="7">
        <v>0.0261312079294843</v>
      </c>
    </row>
    <row r="40" ht="16.5" customHeight="1">
      <c r="A40" s="7">
        <v>14.0</v>
      </c>
      <c r="B40" s="7">
        <v>0.0996089769636549</v>
      </c>
      <c r="C40" s="7">
        <v>-0.043854631125619</v>
      </c>
    </row>
    <row r="41" ht="16.5" customHeight="1">
      <c r="A41" s="7">
        <v>15.0</v>
      </c>
      <c r="B41" s="7">
        <v>0.0809320811182072</v>
      </c>
      <c r="C41" s="7">
        <v>-0.0397217678133971</v>
      </c>
    </row>
    <row r="42" ht="16.5" customHeight="1">
      <c r="A42" s="7">
        <v>16.0</v>
      </c>
      <c r="B42" s="7">
        <v>0.0763836086674247</v>
      </c>
      <c r="C42" s="7">
        <v>-0.0348246556657304</v>
      </c>
    </row>
    <row r="43" ht="16.5" customHeight="1">
      <c r="A43" s="7">
        <v>17.0</v>
      </c>
      <c r="B43" s="7">
        <v>0.0764926415682315</v>
      </c>
      <c r="C43" s="7">
        <v>-0.0108836329150414</v>
      </c>
    </row>
    <row r="44" ht="16.5" customHeight="1">
      <c r="A44" s="7">
        <v>18.0</v>
      </c>
      <c r="B44" s="7">
        <v>0.0840140092027381</v>
      </c>
      <c r="C44" s="7">
        <v>-0.0691749121519417</v>
      </c>
    </row>
    <row r="45" ht="16.5" customHeight="1">
      <c r="A45" s="7">
        <v>19.0</v>
      </c>
      <c r="B45" s="7">
        <v>0.0681363257800282</v>
      </c>
      <c r="C45" s="7">
        <v>-0.190606704272459</v>
      </c>
    </row>
    <row r="46" ht="16.5" customHeight="1">
      <c r="A46" s="7">
        <v>20.0</v>
      </c>
      <c r="B46" s="7">
        <v>0.0251944274232287</v>
      </c>
      <c r="C46" s="7">
        <v>0.0625749562592592</v>
      </c>
    </row>
    <row r="47" ht="16.5" customHeight="1">
      <c r="A47" s="7">
        <v>21.0</v>
      </c>
      <c r="B47" s="7">
        <v>0.0909444017943046</v>
      </c>
      <c r="C47" s="7">
        <v>0.175044898550851</v>
      </c>
    </row>
    <row r="48" ht="16.5" customHeight="1">
      <c r="A48" s="7">
        <v>22.0</v>
      </c>
      <c r="B48" s="7">
        <v>0.146680551948605</v>
      </c>
      <c r="C48" s="7">
        <v>-0.117927901715358</v>
      </c>
    </row>
    <row r="49" ht="16.5" customHeight="1">
      <c r="A49" s="7">
        <v>23.0</v>
      </c>
      <c r="B49" s="7">
        <v>0.0724876233447373</v>
      </c>
      <c r="C49" s="7">
        <v>-2.93514021460495E-5</v>
      </c>
    </row>
    <row r="50" ht="16.5" customHeight="1">
      <c r="A50" s="7">
        <v>24.0</v>
      </c>
      <c r="B50" s="7">
        <v>0.0590701089530373</v>
      </c>
      <c r="C50" s="7">
        <v>0.00472849266718178</v>
      </c>
    </row>
    <row r="51" ht="16.5" customHeight="1">
      <c r="A51" s="7">
        <v>25.0</v>
      </c>
      <c r="B51" s="7">
        <v>0.0488027579593417</v>
      </c>
      <c r="C51" s="7">
        <v>-0.00811714677305386</v>
      </c>
    </row>
    <row r="52" ht="16.5" customHeight="1">
      <c r="A52" s="7">
        <v>26.0</v>
      </c>
      <c r="B52" s="7">
        <v>0.0413617792519721</v>
      </c>
      <c r="C52" s="7">
        <v>0.0187919106470372</v>
      </c>
    </row>
    <row r="53" ht="16.5" customHeight="1">
      <c r="A53" s="7">
        <v>27.0</v>
      </c>
      <c r="B53" s="7">
        <v>0.0476293178289833</v>
      </c>
      <c r="C53" s="7">
        <v>0.0568367667915677</v>
      </c>
    </row>
    <row r="54" ht="16.5" customHeight="1">
      <c r="A54" s="7">
        <v>28.0</v>
      </c>
      <c r="B54" s="7">
        <v>0.0618952167630947</v>
      </c>
      <c r="C54" s="7">
        <v>0.0435200433599813</v>
      </c>
    </row>
    <row r="55" ht="16.5" customHeight="1">
      <c r="A55" s="7">
        <v>29.0</v>
      </c>
      <c r="B55" s="7">
        <v>0.0622007936084638</v>
      </c>
      <c r="C55" s="7">
        <v>0.0172440773877842</v>
      </c>
    </row>
    <row r="56" ht="16.5" customHeight="1">
      <c r="A56" s="7">
        <v>30.0</v>
      </c>
      <c r="B56" s="7">
        <v>0.0538399061210907</v>
      </c>
      <c r="C56" s="7">
        <v>0.0349144994962422</v>
      </c>
    </row>
    <row r="57" ht="16.5" customHeight="1">
      <c r="A57" s="7">
        <v>31.0</v>
      </c>
      <c r="B57" s="7">
        <v>0.0568370106753035</v>
      </c>
      <c r="C57" s="7">
        <v>-0.0306176042336952</v>
      </c>
    </row>
    <row r="58" ht="16.5" customHeight="1">
      <c r="A58" s="7">
        <v>32.0</v>
      </c>
      <c r="B58" s="7">
        <v>0.0367045402075781</v>
      </c>
      <c r="C58" s="7">
        <v>-0.00378490285171149</v>
      </c>
    </row>
    <row r="59" ht="16.5" customHeight="1">
      <c r="A59" s="7">
        <v>33.0</v>
      </c>
      <c r="B59" s="7">
        <v>0.0388616074944776</v>
      </c>
      <c r="C59" s="7">
        <v>-0.00610924729113705</v>
      </c>
    </row>
    <row r="60" ht="16.5" customHeight="1">
      <c r="A60" s="7">
        <v>34.0</v>
      </c>
      <c r="B60" s="7">
        <v>0.0388077544141619</v>
      </c>
      <c r="C60" s="7">
        <v>-0.0115534228092549</v>
      </c>
    </row>
    <row r="61" ht="16.5" customHeight="1">
      <c r="A61" s="7">
        <v>35.0</v>
      </c>
      <c r="B61" s="7">
        <v>0.0370377232340601</v>
      </c>
      <c r="C61" s="7">
        <v>-0.00745157706440939</v>
      </c>
    </row>
    <row r="62" ht="16.5" customHeight="1">
      <c r="A62" s="7">
        <v>36.0</v>
      </c>
      <c r="B62" s="7">
        <v>0.0377884258562669</v>
      </c>
      <c r="C62" s="7">
        <v>-0.0119259385934206</v>
      </c>
    </row>
    <row r="63" ht="16.5" customHeight="1">
      <c r="A63" s="7">
        <v>37.0</v>
      </c>
      <c r="B63" s="7">
        <v>0.0365896339163731</v>
      </c>
      <c r="C63" s="7">
        <v>-0.280313061976342</v>
      </c>
    </row>
    <row r="64" ht="16.5" customHeight="1">
      <c r="A64" s="7">
        <v>38.0</v>
      </c>
      <c r="B64" s="7">
        <v>-0.0502006523279765</v>
      </c>
      <c r="C64" s="7">
        <v>-0.0141970222379342</v>
      </c>
    </row>
    <row r="65" ht="16.5" customHeight="1">
      <c r="A65" s="7">
        <v>39.0</v>
      </c>
      <c r="B65" s="7">
        <v>0.00753134549578304</v>
      </c>
      <c r="C65" s="7">
        <v>-0.0292921792955399</v>
      </c>
    </row>
    <row r="66" ht="16.5" customHeight="1">
      <c r="A66" s="7">
        <v>40.0</v>
      </c>
      <c r="B66" s="7">
        <v>0.0212578178532804</v>
      </c>
      <c r="C66" s="7">
        <v>0.0289753153855307</v>
      </c>
    </row>
    <row r="67" ht="16.5" customHeight="1">
      <c r="A67" s="7">
        <v>41.0</v>
      </c>
      <c r="B67" s="7">
        <v>0.0444355013003606</v>
      </c>
      <c r="C67" s="7">
        <v>-0.00645285003687709</v>
      </c>
    </row>
    <row r="68" ht="16.5" customHeight="1">
      <c r="A68" s="7">
        <v>42.0</v>
      </c>
      <c r="B68" s="7">
        <v>0.040491590373127</v>
      </c>
      <c r="C68" s="7">
        <v>-0.0543215073234912</v>
      </c>
    </row>
    <row r="69" ht="16.5" customHeight="1">
      <c r="A69" s="7">
        <v>43.0</v>
      </c>
      <c r="B69" s="7">
        <v>0.0238110912418945</v>
      </c>
      <c r="C69" s="7">
        <v>0.0225408895545438</v>
      </c>
    </row>
    <row r="70" ht="16.5" customHeight="1">
      <c r="A70" s="7">
        <v>44.0</v>
      </c>
      <c r="B70" s="7">
        <v>0.0431860060104151</v>
      </c>
      <c r="C70" s="7">
        <v>0.0383280588323408</v>
      </c>
    </row>
    <row r="71" ht="16.5" customHeight="1">
      <c r="A71" s="7">
        <v>45.0</v>
      </c>
      <c r="B71" s="7">
        <v>0.0545060608273498</v>
      </c>
      <c r="C71" s="7">
        <v>-0.00638168806668622</v>
      </c>
    </row>
    <row r="72" ht="16.5" customHeight="1">
      <c r="A72" s="7">
        <v>46.0</v>
      </c>
      <c r="B72" s="7">
        <v>0.0437566085425545</v>
      </c>
      <c r="C72" s="7">
        <v>-7.55426000617065E-4</v>
      </c>
    </row>
    <row r="73" ht="16.5" customHeight="1">
      <c r="A73" s="7">
        <v>47.0</v>
      </c>
      <c r="B73" s="7">
        <v>0.0703137366914724</v>
      </c>
      <c r="C73" s="7">
        <v>0.0181925078986105</v>
      </c>
    </row>
    <row r="74" ht="16.5" customHeight="1">
      <c r="A74" s="7">
        <v>48.0</v>
      </c>
      <c r="B74" s="7">
        <v>0.0567571179013656</v>
      </c>
      <c r="C74" s="7">
        <v>0.0784335531717694</v>
      </c>
    </row>
    <row r="75" ht="16.5" customHeight="1">
      <c r="A75" s="7">
        <v>49.0</v>
      </c>
      <c r="B75" s="7">
        <v>0.0717866669516772</v>
      </c>
      <c r="C75" s="7">
        <v>0.0554950162514748</v>
      </c>
    </row>
    <row r="76" ht="16.5" customHeight="1">
      <c r="A76" s="7">
        <v>50.0</v>
      </c>
      <c r="B76" s="7">
        <v>0.0692404533621543</v>
      </c>
      <c r="C76" s="7">
        <v>0.0995242221034337</v>
      </c>
    </row>
    <row r="77" ht="16.5" customHeight="1">
      <c r="A77" s="7">
        <v>51.0</v>
      </c>
      <c r="B77" s="7">
        <v>0.0825954566026528</v>
      </c>
      <c r="C77" s="7">
        <v>0.0163663008430472</v>
      </c>
    </row>
    <row r="78" ht="16.5" customHeight="1">
      <c r="A78" s="7">
        <v>52.0</v>
      </c>
      <c r="B78" s="7">
        <v>0.0601231578240518</v>
      </c>
      <c r="C78" s="7">
        <v>-0.0100030263937735</v>
      </c>
    </row>
    <row r="79" ht="16.5" customHeight="1">
      <c r="A79" s="7">
        <v>53.0</v>
      </c>
      <c r="B79" s="7">
        <v>0.0443991215833529</v>
      </c>
      <c r="C79" s="7">
        <v>0.00588650292174887</v>
      </c>
    </row>
    <row r="80" ht="16.5" customHeight="1">
      <c r="A80" s="7">
        <v>54.0</v>
      </c>
      <c r="B80" s="7">
        <v>0.0444524002990388</v>
      </c>
      <c r="C80" s="7">
        <v>-0.0175856818776128</v>
      </c>
    </row>
    <row r="81" ht="16.5" customHeight="1">
      <c r="A81" s="7">
        <v>55.0</v>
      </c>
      <c r="B81" s="7">
        <v>0.0369129353381267</v>
      </c>
      <c r="C81" s="7">
        <v>-0.0524000139924484</v>
      </c>
    </row>
    <row r="82" ht="16.5" customHeight="1">
      <c r="A82" s="7">
        <v>56.0</v>
      </c>
      <c r="B82" s="7">
        <v>0.0232775858528336</v>
      </c>
      <c r="C82" s="7">
        <v>0.00579345239853253</v>
      </c>
    </row>
    <row r="83" ht="16.5" customHeight="1">
      <c r="A83" s="7">
        <v>57.0</v>
      </c>
      <c r="B83" s="7">
        <v>0.0376225924015735</v>
      </c>
      <c r="C83" s="7">
        <v>0.0392487933982015</v>
      </c>
    </row>
    <row r="84" ht="16.5" customHeight="1">
      <c r="A84" s="7">
        <v>58.0</v>
      </c>
      <c r="B84" s="7">
        <v>0.0530114002379846</v>
      </c>
      <c r="C84" s="7">
        <v>0.0372421291236696</v>
      </c>
    </row>
    <row r="85" ht="16.5" customHeight="1">
      <c r="A85" s="7">
        <v>59.0</v>
      </c>
      <c r="B85" s="7">
        <v>0.057319637442839</v>
      </c>
      <c r="C85" s="7">
        <v>0.050473648285466</v>
      </c>
    </row>
    <row r="86" ht="16.5" customHeight="1">
      <c r="A86" s="7">
        <v>60.0</v>
      </c>
      <c r="B86" s="7">
        <v>0.0629663733781898</v>
      </c>
      <c r="C86" s="7">
        <v>-0.164674619882817</v>
      </c>
    </row>
    <row r="87" ht="16.5" customHeight="1">
      <c r="A87" s="7">
        <v>61.0</v>
      </c>
      <c r="B87" s="7">
        <v>-0.00448039189273747</v>
      </c>
      <c r="C87" s="7">
        <v>-0.277811047880733</v>
      </c>
    </row>
    <row r="88" ht="16.5" customHeight="1">
      <c r="A88" s="7">
        <v>62.0</v>
      </c>
      <c r="B88" s="7">
        <v>-0.0626172089291695</v>
      </c>
      <c r="C88" s="7">
        <v>0.260217947163559</v>
      </c>
    </row>
    <row r="89" ht="16.5" customHeight="1">
      <c r="A89" s="7">
        <v>63.0</v>
      </c>
      <c r="B89" s="7">
        <v>0.0918789169008937</v>
      </c>
      <c r="C89" s="7">
        <v>0.0409191391975694</v>
      </c>
    </row>
    <row r="90" ht="16.5" customHeight="1">
      <c r="A90" s="7">
        <v>64.0</v>
      </c>
      <c r="B90" s="7">
        <v>0.0710163902913567</v>
      </c>
      <c r="C90" s="7">
        <v>0.0709822360822693</v>
      </c>
    </row>
    <row r="91" ht="16.5" customHeight="1">
      <c r="A91" s="7">
        <v>65.0</v>
      </c>
      <c r="B91" s="7">
        <v>0.0739784149462296</v>
      </c>
      <c r="C91" s="7">
        <v>0.0494790060405104</v>
      </c>
    </row>
    <row r="92" ht="16.5" customHeight="1">
      <c r="A92" s="7">
        <v>66.0</v>
      </c>
      <c r="B92" s="7">
        <v>0.0680092732686453</v>
      </c>
      <c r="C92" s="7">
        <v>0.00475121259204928</v>
      </c>
    </row>
    <row r="93" ht="16.5" customHeight="1">
      <c r="A93" s="7">
        <v>67.0</v>
      </c>
      <c r="B93" s="7">
        <v>0.0516879402122357</v>
      </c>
      <c r="C93" s="7">
        <v>0.0559372948706843</v>
      </c>
    </row>
    <row r="94" ht="16.5" customHeight="1">
      <c r="A94" s="7">
        <v>68.0</v>
      </c>
      <c r="B94" s="7">
        <v>0.0629122712801664</v>
      </c>
      <c r="C94" s="7">
        <v>0.0121548579411346</v>
      </c>
    </row>
    <row r="95" ht="16.5" customHeight="1">
      <c r="A95" s="7">
        <v>69.0</v>
      </c>
      <c r="B95" s="7">
        <v>0.0524305392359679</v>
      </c>
      <c r="C95" s="7">
        <v>-0.128479327171302</v>
      </c>
    </row>
    <row r="96" ht="16.5" customHeight="1">
      <c r="A96" s="7">
        <v>70.0</v>
      </c>
      <c r="B96" s="7">
        <v>0.0432157429384719</v>
      </c>
      <c r="C96" s="7">
        <v>0.00401232976730785</v>
      </c>
    </row>
    <row r="97" ht="16.5" customHeight="1">
      <c r="A97" s="7">
        <v>71.0</v>
      </c>
      <c r="B97" s="7">
        <v>0.0434680543789178</v>
      </c>
      <c r="C97" s="7">
        <v>0.0127546334836241</v>
      </c>
    </row>
    <row r="98" ht="16.5" customHeight="1">
      <c r="A98" s="7">
        <v>72.0</v>
      </c>
      <c r="B98" s="7">
        <v>0.046363773998314</v>
      </c>
      <c r="C98" s="7">
        <v>0.00881495621322161</v>
      </c>
    </row>
    <row r="99" ht="16.5" customHeight="1">
      <c r="A99" s="7">
        <v>73.0</v>
      </c>
      <c r="B99" s="7">
        <v>0.0460276830595521</v>
      </c>
      <c r="C99" s="7">
        <v>0.0418170986252433</v>
      </c>
    </row>
    <row r="100" ht="16.5" customHeight="1">
      <c r="A100" s="7">
        <v>74.0</v>
      </c>
      <c r="B100" s="7">
        <v>0.0565441670325446</v>
      </c>
      <c r="C100" s="7">
        <v>-0.00304100663765339</v>
      </c>
    </row>
    <row r="101" ht="16.5" customHeight="1">
      <c r="A101" s="7">
        <v>75.0</v>
      </c>
      <c r="B101" s="7">
        <v>0.0454882513765771</v>
      </c>
      <c r="C101" s="7">
        <v>-0.00215447603144148</v>
      </c>
    </row>
    <row r="102" ht="16.5" customHeight="1">
      <c r="A102" s="7">
        <v>76.0</v>
      </c>
      <c r="B102" s="7">
        <v>0.0422143272238986</v>
      </c>
      <c r="C102" s="7">
        <v>3.3757462451079E-4</v>
      </c>
    </row>
    <row r="103" ht="16.5" customHeight="1">
      <c r="A103" s="7">
        <v>77.0</v>
      </c>
      <c r="B103" s="7">
        <v>0.0419626114600892</v>
      </c>
      <c r="C103" s="7">
        <v>0.00468578842429909</v>
      </c>
    </row>
    <row r="104" ht="16.5" customHeight="1">
      <c r="A104" s="7">
        <v>78.0</v>
      </c>
      <c r="B104" s="7">
        <v>0.0432814349480162</v>
      </c>
      <c r="C104" s="7">
        <v>-0.0125149884725841</v>
      </c>
    </row>
    <row r="105" ht="16.5" customHeight="1">
      <c r="A105" s="7">
        <v>79.0</v>
      </c>
      <c r="B105" s="7">
        <v>0.0381684108464708</v>
      </c>
      <c r="C105" s="7">
        <v>-0.0045053165898069</v>
      </c>
    </row>
    <row r="106" ht="16.5" customHeight="1">
      <c r="A106" s="7">
        <v>80.0</v>
      </c>
      <c r="B106" s="7">
        <v>0.0391009554483693</v>
      </c>
      <c r="C106" s="7">
        <v>-0.00265200649942044</v>
      </c>
    </row>
    <row r="107" ht="16.5" customHeight="1">
      <c r="A107" s="7">
        <v>81.0</v>
      </c>
      <c r="B107" s="7">
        <v>0.0399978314067778</v>
      </c>
      <c r="C107" s="7">
        <v>-0.00987024483017223</v>
      </c>
    </row>
    <row r="108" ht="16.5" customHeight="1">
      <c r="A108" s="7">
        <v>82.0</v>
      </c>
      <c r="B108" s="7">
        <v>0.0379627367725015</v>
      </c>
      <c r="C108" s="7">
        <v>-0.0102131254698584</v>
      </c>
    </row>
    <row r="109" ht="16.5" customHeight="1">
      <c r="A109" s="7">
        <v>83.0</v>
      </c>
      <c r="B109" s="7">
        <v>0.0371971732063855</v>
      </c>
      <c r="C109" s="7">
        <v>-0.00819816874252986</v>
      </c>
    </row>
    <row r="110" ht="16.5" customHeight="1">
      <c r="A110" s="7">
        <v>84.0</v>
      </c>
      <c r="B110" s="7">
        <v>0.0375994018983537</v>
      </c>
      <c r="C110" s="7">
        <v>-0.0281289670375631</v>
      </c>
    </row>
    <row r="111" ht="16.5" customHeight="1">
      <c r="A111" s="7">
        <v>85.0</v>
      </c>
      <c r="B111" s="7">
        <v>0.0313123889297305</v>
      </c>
      <c r="C111" s="7">
        <v>-0.00283290938097275</v>
      </c>
    </row>
    <row r="112" ht="16.5" customHeight="1">
      <c r="A112" s="7">
        <v>86.0</v>
      </c>
      <c r="B112" s="7">
        <v>0.0374321464390378</v>
      </c>
      <c r="C112" s="7">
        <v>-0.0121136814205847</v>
      </c>
    </row>
    <row r="113" ht="16.5" customHeight="1">
      <c r="A113" s="7">
        <v>87.0</v>
      </c>
      <c r="B113" s="7">
        <v>0.0364144918053409</v>
      </c>
      <c r="C113" s="7">
        <v>0.0118190078030196</v>
      </c>
    </row>
    <row r="114" ht="16.5" customHeight="1">
      <c r="A114" s="7">
        <v>88.0</v>
      </c>
      <c r="B114" s="7">
        <v>0.0437917407575933</v>
      </c>
      <c r="C114" s="7">
        <v>-0.010928438112214</v>
      </c>
    </row>
    <row r="115" ht="16.5" customHeight="1">
      <c r="A115" s="7">
        <v>89.0</v>
      </c>
      <c r="B115" s="7">
        <v>0.0388434711402737</v>
      </c>
      <c r="C115" s="7">
        <v>-0.0562586865389905</v>
      </c>
    </row>
    <row r="116" ht="16.5" customHeight="1">
      <c r="A116" s="7">
        <v>90.0</v>
      </c>
      <c r="B116" s="7">
        <v>0.0226568429636366</v>
      </c>
      <c r="C116" s="7">
        <v>0.0145157576923505</v>
      </c>
    </row>
    <row r="117" ht="16.5" customHeight="1">
      <c r="A117" s="7">
        <v>91.0</v>
      </c>
      <c r="B117" s="7">
        <v>0.0402308032915288</v>
      </c>
      <c r="C117" s="7">
        <v>0.00747943817391675</v>
      </c>
    </row>
    <row r="118" ht="16.5" customHeight="1">
      <c r="A118" s="9">
        <v>92.0</v>
      </c>
      <c r="B118" s="9">
        <v>0.0436232834257297</v>
      </c>
      <c r="C118" s="9">
        <v>0.0124248483032127</v>
      </c>
    </row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3:B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89"/>
    <col customWidth="1" min="2" max="2" width="15.44"/>
    <col customWidth="1" min="3" max="3" width="13.11"/>
    <col customWidth="1" min="4" max="4" width="10.89"/>
    <col customWidth="1" min="5" max="5" width="16.78"/>
    <col customWidth="1" min="6" max="6" width="15.44"/>
    <col customWidth="1" min="7" max="7" width="16.78"/>
    <col customWidth="1" min="8" max="8" width="14.33"/>
    <col customWidth="1" min="9" max="26" width="8.56"/>
  </cols>
  <sheetData>
    <row r="1" ht="16.5" customHeight="1"/>
    <row r="2" ht="16.5" customHeight="1">
      <c r="A2" s="3" t="s">
        <v>53</v>
      </c>
      <c r="B2" s="3" t="s">
        <v>77</v>
      </c>
      <c r="C2" s="3" t="s">
        <v>78</v>
      </c>
      <c r="E2" s="17" t="s">
        <v>77</v>
      </c>
      <c r="F2" s="17"/>
      <c r="G2" s="17" t="s">
        <v>78</v>
      </c>
      <c r="H2" s="17"/>
    </row>
    <row r="3" ht="16.5" customHeight="1">
      <c r="A3" s="7">
        <v>1.0</v>
      </c>
      <c r="B3" s="7">
        <v>0.00472849266718178</v>
      </c>
      <c r="C3" s="7">
        <v>0.0129378668480369</v>
      </c>
      <c r="E3" s="18"/>
      <c r="F3" s="18"/>
      <c r="G3" s="18"/>
      <c r="H3" s="18"/>
    </row>
    <row r="4" ht="16.5" customHeight="1">
      <c r="A4" s="7">
        <v>2.0</v>
      </c>
      <c r="B4" s="7">
        <v>-0.00811714677305386</v>
      </c>
      <c r="C4" s="7">
        <v>0.00431469339586701</v>
      </c>
      <c r="E4" s="18" t="s">
        <v>79</v>
      </c>
      <c r="F4" s="18">
        <v>-2.90629034525969E-17</v>
      </c>
      <c r="G4" s="18" t="s">
        <v>79</v>
      </c>
      <c r="H4" s="18">
        <v>7.30092315106761E-17</v>
      </c>
    </row>
    <row r="5" ht="16.5" customHeight="1">
      <c r="A5" s="7">
        <v>3.0</v>
      </c>
      <c r="B5" s="7">
        <v>0.0187919106470372</v>
      </c>
      <c r="C5" s="7">
        <v>0.0397360579685901</v>
      </c>
      <c r="E5" s="18" t="s">
        <v>23</v>
      </c>
      <c r="F5" s="18">
        <v>0.00839386683462055</v>
      </c>
      <c r="G5" s="18" t="s">
        <v>23</v>
      </c>
      <c r="H5" s="18">
        <v>0.0150956341408551</v>
      </c>
    </row>
    <row r="6" ht="16.5" customHeight="1">
      <c r="A6" s="7">
        <v>4.0</v>
      </c>
      <c r="B6" s="7">
        <v>0.0568367667915677</v>
      </c>
      <c r="C6" s="7">
        <v>0.0632041374651606</v>
      </c>
      <c r="E6" s="18" t="s">
        <v>80</v>
      </c>
      <c r="F6" s="18">
        <v>0.00401232976730785</v>
      </c>
      <c r="G6" s="18" t="s">
        <v>80</v>
      </c>
      <c r="H6" s="18">
        <v>-2.93514021460495E-5</v>
      </c>
    </row>
    <row r="7" ht="16.5" customHeight="1">
      <c r="A7" s="7">
        <v>5.0</v>
      </c>
      <c r="B7" s="7">
        <v>0.0435200433599813</v>
      </c>
      <c r="C7" s="7">
        <v>0.0838593362570045</v>
      </c>
      <c r="E7" s="18" t="s">
        <v>81</v>
      </c>
      <c r="F7" s="18"/>
      <c r="G7" s="18" t="s">
        <v>81</v>
      </c>
      <c r="H7" s="18"/>
    </row>
    <row r="8" ht="16.5" customHeight="1">
      <c r="A8" s="7">
        <v>6.0</v>
      </c>
      <c r="B8" s="7">
        <v>0.0172440773877842</v>
      </c>
      <c r="C8" s="7">
        <v>0.029889690249298</v>
      </c>
      <c r="E8" s="18" t="s">
        <v>82</v>
      </c>
      <c r="F8" s="18">
        <v>0.0697246945506156</v>
      </c>
      <c r="G8" s="18" t="s">
        <v>82</v>
      </c>
      <c r="H8" s="18">
        <v>0.0723961180771087</v>
      </c>
    </row>
    <row r="9" ht="16.5" customHeight="1">
      <c r="A9" s="7">
        <v>7.0</v>
      </c>
      <c r="B9" s="7">
        <v>0.0349144994962422</v>
      </c>
      <c r="C9" s="7">
        <v>0.0712658799552453</v>
      </c>
      <c r="E9" s="18" t="s">
        <v>83</v>
      </c>
      <c r="F9" s="18">
        <v>0.00486153303017665</v>
      </c>
      <c r="G9" s="18" t="s">
        <v>83</v>
      </c>
      <c r="H9" s="18">
        <v>0.00524119791263467</v>
      </c>
    </row>
    <row r="10" ht="16.5" customHeight="1">
      <c r="A10" s="7">
        <v>8.0</v>
      </c>
      <c r="B10" s="7">
        <v>-0.0306176042336952</v>
      </c>
      <c r="C10" s="7">
        <v>-0.0294811406735835</v>
      </c>
      <c r="E10" s="18" t="s">
        <v>84</v>
      </c>
      <c r="F10" s="18">
        <v>9.07922638632472</v>
      </c>
      <c r="G10" s="18" t="s">
        <v>84</v>
      </c>
      <c r="H10" s="18">
        <v>2.18428426892371</v>
      </c>
    </row>
    <row r="11" ht="16.5" customHeight="1">
      <c r="A11" s="7">
        <v>9.0</v>
      </c>
      <c r="B11" s="7">
        <v>-0.00378490285171149</v>
      </c>
      <c r="C11" s="7">
        <v>-0.0217817184165487</v>
      </c>
      <c r="E11" s="18" t="s">
        <v>85</v>
      </c>
      <c r="F11" s="18">
        <v>-1.33603738601355</v>
      </c>
      <c r="G11" s="18" t="s">
        <v>85</v>
      </c>
      <c r="H11" s="18">
        <v>-0.288786580884453</v>
      </c>
    </row>
    <row r="12" ht="16.5" customHeight="1">
      <c r="A12" s="7">
        <v>10.0</v>
      </c>
      <c r="B12" s="7">
        <v>-0.00610924729113705</v>
      </c>
      <c r="C12" s="7">
        <v>-0.00337986759122684</v>
      </c>
      <c r="E12" s="18" t="s">
        <v>86</v>
      </c>
      <c r="F12" s="18">
        <v>0.540531009139901</v>
      </c>
      <c r="G12" s="18" t="s">
        <v>86</v>
      </c>
      <c r="H12" s="18">
        <v>0.365651602823311</v>
      </c>
    </row>
    <row r="13" ht="16.5" customHeight="1">
      <c r="A13" s="7">
        <v>11.0</v>
      </c>
      <c r="B13" s="7">
        <v>-0.0115534228092549</v>
      </c>
      <c r="C13" s="7">
        <v>0.00209467126523981</v>
      </c>
      <c r="E13" s="18" t="s">
        <v>87</v>
      </c>
      <c r="F13" s="18">
        <v>-0.280313061976342</v>
      </c>
      <c r="G13" s="18" t="s">
        <v>87</v>
      </c>
      <c r="H13" s="18">
        <v>-0.190606704272459</v>
      </c>
    </row>
    <row r="14" ht="16.5" customHeight="1">
      <c r="A14" s="7">
        <v>12.0</v>
      </c>
      <c r="B14" s="7">
        <v>-0.00745157706440939</v>
      </c>
      <c r="C14" s="7">
        <v>-0.0093871124009834</v>
      </c>
      <c r="E14" s="18" t="s">
        <v>88</v>
      </c>
      <c r="F14" s="18">
        <v>0.260217947163559</v>
      </c>
      <c r="G14" s="18" t="s">
        <v>88</v>
      </c>
      <c r="H14" s="18">
        <v>0.175044898550851</v>
      </c>
    </row>
    <row r="15" ht="16.5" customHeight="1">
      <c r="A15" s="7">
        <v>13.0</v>
      </c>
      <c r="B15" s="7">
        <v>-0.0119259385934206</v>
      </c>
      <c r="C15" s="7">
        <v>0.0261312079294843</v>
      </c>
      <c r="E15" s="18" t="s">
        <v>89</v>
      </c>
      <c r="F15" s="18">
        <v>-2.00534033822919E-15</v>
      </c>
      <c r="G15" s="18" t="s">
        <v>89</v>
      </c>
      <c r="H15" s="18">
        <v>1.67921232474555E-15</v>
      </c>
    </row>
    <row r="16" ht="16.5" customHeight="1">
      <c r="A16" s="7">
        <v>14.0</v>
      </c>
      <c r="B16" s="7">
        <v>-0.280313061976342</v>
      </c>
      <c r="C16" s="7">
        <v>-0.043854631125619</v>
      </c>
      <c r="E16" s="19" t="s">
        <v>90</v>
      </c>
      <c r="F16" s="20">
        <v>69.0</v>
      </c>
      <c r="G16" s="19" t="s">
        <v>90</v>
      </c>
      <c r="H16" s="20">
        <v>23.0</v>
      </c>
    </row>
    <row r="17" ht="16.5" customHeight="1">
      <c r="A17" s="7">
        <v>15.0</v>
      </c>
      <c r="B17" s="7">
        <v>-0.0141970222379342</v>
      </c>
      <c r="C17" s="7">
        <v>-0.0397217678133971</v>
      </c>
    </row>
    <row r="18" ht="16.5" customHeight="1">
      <c r="A18" s="7">
        <v>16.0</v>
      </c>
      <c r="B18" s="7">
        <v>-0.0292921792955399</v>
      </c>
      <c r="C18" s="7">
        <v>-0.0348246556657304</v>
      </c>
    </row>
    <row r="19" ht="16.5" customHeight="1">
      <c r="A19" s="7">
        <v>17.0</v>
      </c>
      <c r="B19" s="7">
        <v>0.0289753153855307</v>
      </c>
      <c r="C19" s="7">
        <v>-0.0108836329150414</v>
      </c>
    </row>
    <row r="20" ht="16.5" customHeight="1">
      <c r="A20" s="7">
        <v>18.0</v>
      </c>
      <c r="B20" s="7">
        <v>-0.00645285003687709</v>
      </c>
      <c r="C20" s="7">
        <v>-0.0691749121519417</v>
      </c>
    </row>
    <row r="21" ht="16.5" customHeight="1">
      <c r="A21" s="7">
        <v>19.0</v>
      </c>
      <c r="B21" s="7">
        <v>-0.0543215073234912</v>
      </c>
      <c r="C21" s="7">
        <v>-0.190606704272459</v>
      </c>
    </row>
    <row r="22" ht="16.5" customHeight="1">
      <c r="A22" s="7">
        <v>20.0</v>
      </c>
      <c r="B22" s="7">
        <v>0.0225408895545438</v>
      </c>
      <c r="C22" s="7">
        <v>0.0625749562592592</v>
      </c>
    </row>
    <row r="23" ht="16.5" customHeight="1">
      <c r="A23" s="7">
        <v>21.0</v>
      </c>
      <c r="B23" s="7">
        <v>0.0383280588323408</v>
      </c>
      <c r="C23" s="7">
        <v>0.175044898550851</v>
      </c>
      <c r="E23" s="1" t="s">
        <v>91</v>
      </c>
    </row>
    <row r="24" ht="16.5" customHeight="1">
      <c r="A24" s="7">
        <v>22.0</v>
      </c>
      <c r="B24" s="7">
        <v>-0.00638168806668622</v>
      </c>
      <c r="C24" s="7">
        <v>-0.117927901715358</v>
      </c>
    </row>
    <row r="25" ht="16.5" customHeight="1">
      <c r="A25" s="7">
        <v>23.0</v>
      </c>
      <c r="B25" s="7">
        <v>-7.55426000617065E-4</v>
      </c>
      <c r="C25" s="7">
        <v>-2.93514021460495E-5</v>
      </c>
      <c r="E25" s="3"/>
      <c r="F25" s="3" t="s">
        <v>77</v>
      </c>
      <c r="G25" s="3" t="s">
        <v>78</v>
      </c>
    </row>
    <row r="26" ht="16.5" customHeight="1">
      <c r="A26" s="7">
        <v>24.0</v>
      </c>
      <c r="B26" s="7">
        <v>0.0181925078986105</v>
      </c>
      <c r="C26" s="7"/>
      <c r="E26" s="7" t="s">
        <v>79</v>
      </c>
      <c r="F26" s="7">
        <v>-2.90629034525969E-17</v>
      </c>
      <c r="G26" s="7">
        <v>7.30092315106761E-17</v>
      </c>
    </row>
    <row r="27" ht="16.5" customHeight="1">
      <c r="A27" s="7">
        <v>25.0</v>
      </c>
      <c r="B27" s="7">
        <v>0.0784335531717694</v>
      </c>
      <c r="C27" s="7"/>
      <c r="E27" s="7" t="s">
        <v>92</v>
      </c>
      <c r="F27" s="7">
        <v>0.00486153303017665</v>
      </c>
      <c r="G27" s="7">
        <v>0.00524119791263467</v>
      </c>
    </row>
    <row r="28" ht="16.5" customHeight="1">
      <c r="A28" s="7">
        <v>26.0</v>
      </c>
      <c r="B28" s="7">
        <v>0.0554950162514748</v>
      </c>
      <c r="C28" s="7"/>
      <c r="E28" s="7" t="s">
        <v>25</v>
      </c>
      <c r="F28" s="7">
        <v>69.0</v>
      </c>
      <c r="G28" s="7">
        <v>23.0</v>
      </c>
    </row>
    <row r="29" ht="16.5" customHeight="1">
      <c r="A29" s="7">
        <v>27.0</v>
      </c>
      <c r="B29" s="7">
        <v>0.0995242221034337</v>
      </c>
      <c r="C29" s="7"/>
      <c r="E29" s="7" t="s">
        <v>28</v>
      </c>
      <c r="F29" s="7">
        <v>68.0</v>
      </c>
      <c r="G29" s="7">
        <v>22.0</v>
      </c>
    </row>
    <row r="30" ht="16.5" customHeight="1">
      <c r="A30" s="7">
        <v>28.0</v>
      </c>
      <c r="B30" s="7">
        <v>0.0163663008430472</v>
      </c>
      <c r="C30" s="7"/>
      <c r="E30" s="7" t="s">
        <v>31</v>
      </c>
      <c r="F30" s="7">
        <v>0.927561429889381</v>
      </c>
      <c r="G30" s="7"/>
    </row>
    <row r="31" ht="16.5" customHeight="1">
      <c r="A31" s="7">
        <v>29.0</v>
      </c>
      <c r="B31" s="7">
        <v>-0.0100030263937735</v>
      </c>
      <c r="C31" s="7"/>
      <c r="E31" s="7" t="s">
        <v>93</v>
      </c>
      <c r="F31" s="7">
        <v>0.391238590749969</v>
      </c>
      <c r="G31" s="7"/>
    </row>
    <row r="32" ht="16.5" customHeight="1">
      <c r="A32" s="7">
        <v>30.0</v>
      </c>
      <c r="B32" s="7">
        <v>0.00588650292174887</v>
      </c>
      <c r="C32" s="7"/>
      <c r="E32" s="9" t="s">
        <v>94</v>
      </c>
      <c r="F32" s="9">
        <v>0.661732319702625</v>
      </c>
      <c r="G32" s="9"/>
    </row>
    <row r="33" ht="16.5" customHeight="1">
      <c r="A33" s="7">
        <v>31.0</v>
      </c>
      <c r="B33" s="7">
        <v>-0.0175856818776128</v>
      </c>
      <c r="C33" s="7"/>
    </row>
    <row r="34" ht="16.5" customHeight="1">
      <c r="A34" s="7">
        <v>32.0</v>
      </c>
      <c r="B34" s="7">
        <v>-0.0524000139924484</v>
      </c>
      <c r="C34" s="7"/>
    </row>
    <row r="35" ht="16.5" customHeight="1">
      <c r="A35" s="7">
        <v>33.0</v>
      </c>
      <c r="B35" s="7">
        <v>0.00579345239853253</v>
      </c>
      <c r="C35" s="7"/>
    </row>
    <row r="36" ht="16.5" customHeight="1">
      <c r="A36" s="7">
        <v>34.0</v>
      </c>
      <c r="B36" s="7">
        <v>0.0392487933982015</v>
      </c>
      <c r="C36" s="7"/>
    </row>
    <row r="37" ht="16.5" customHeight="1">
      <c r="A37" s="7">
        <v>35.0</v>
      </c>
      <c r="B37" s="7">
        <v>0.0372421291236696</v>
      </c>
      <c r="C37" s="7"/>
    </row>
    <row r="38" ht="16.5" customHeight="1">
      <c r="A38" s="7">
        <v>36.0</v>
      </c>
      <c r="B38" s="7">
        <v>0.050473648285466</v>
      </c>
      <c r="C38" s="7"/>
    </row>
    <row r="39" ht="16.5" customHeight="1">
      <c r="A39" s="7">
        <v>37.0</v>
      </c>
      <c r="B39" s="7">
        <v>-0.164674619882817</v>
      </c>
      <c r="C39" s="7"/>
    </row>
    <row r="40" ht="16.5" customHeight="1">
      <c r="A40" s="7">
        <v>38.0</v>
      </c>
      <c r="B40" s="7">
        <v>-0.277811047880733</v>
      </c>
      <c r="C40" s="7"/>
    </row>
    <row r="41" ht="16.5" customHeight="1">
      <c r="A41" s="7">
        <v>39.0</v>
      </c>
      <c r="B41" s="7">
        <v>0.260217947163559</v>
      </c>
      <c r="C41" s="7"/>
    </row>
    <row r="42" ht="16.5" customHeight="1">
      <c r="A42" s="7">
        <v>40.0</v>
      </c>
      <c r="B42" s="7">
        <v>0.0409191391975694</v>
      </c>
      <c r="C42" s="7"/>
    </row>
    <row r="43" ht="16.5" customHeight="1">
      <c r="A43" s="7">
        <v>41.0</v>
      </c>
      <c r="B43" s="7">
        <v>0.0709822360822693</v>
      </c>
      <c r="C43" s="7"/>
    </row>
    <row r="44" ht="16.5" customHeight="1">
      <c r="A44" s="7">
        <v>42.0</v>
      </c>
      <c r="B44" s="7">
        <v>0.0494790060405104</v>
      </c>
      <c r="C44" s="7"/>
    </row>
    <row r="45" ht="16.5" customHeight="1">
      <c r="A45" s="7">
        <v>43.0</v>
      </c>
      <c r="B45" s="7">
        <v>0.00475121259204928</v>
      </c>
      <c r="C45" s="7"/>
    </row>
    <row r="46" ht="16.5" customHeight="1">
      <c r="A46" s="7">
        <v>44.0</v>
      </c>
      <c r="B46" s="7">
        <v>0.0559372948706843</v>
      </c>
      <c r="C46" s="7"/>
    </row>
    <row r="47" ht="16.5" customHeight="1">
      <c r="A47" s="7">
        <v>45.0</v>
      </c>
      <c r="B47" s="7">
        <v>0.0121548579411346</v>
      </c>
      <c r="C47" s="7"/>
    </row>
    <row r="48" ht="16.5" customHeight="1">
      <c r="A48" s="7">
        <v>46.0</v>
      </c>
      <c r="B48" s="7">
        <v>-0.128479327171302</v>
      </c>
      <c r="C48" s="7"/>
    </row>
    <row r="49" ht="16.5" customHeight="1">
      <c r="A49" s="7">
        <v>47.0</v>
      </c>
      <c r="B49" s="7">
        <v>0.00401232976730785</v>
      </c>
      <c r="C49" s="7"/>
    </row>
    <row r="50" ht="16.5" customHeight="1">
      <c r="A50" s="7">
        <v>48.0</v>
      </c>
      <c r="B50" s="7">
        <v>0.0127546334836241</v>
      </c>
      <c r="C50" s="7"/>
    </row>
    <row r="51" ht="16.5" customHeight="1">
      <c r="A51" s="7">
        <v>49.0</v>
      </c>
      <c r="B51" s="7">
        <v>0.00881495621322161</v>
      </c>
      <c r="C51" s="7"/>
    </row>
    <row r="52" ht="16.5" customHeight="1">
      <c r="A52" s="7">
        <v>50.0</v>
      </c>
      <c r="B52" s="7">
        <v>0.0418170986252433</v>
      </c>
      <c r="C52" s="7"/>
    </row>
    <row r="53" ht="16.5" customHeight="1">
      <c r="A53" s="7">
        <v>51.0</v>
      </c>
      <c r="B53" s="7">
        <v>-0.00304100663765339</v>
      </c>
      <c r="C53" s="7"/>
    </row>
    <row r="54" ht="16.5" customHeight="1">
      <c r="A54" s="7">
        <v>52.0</v>
      </c>
      <c r="B54" s="7">
        <v>-0.00215447603144148</v>
      </c>
      <c r="C54" s="7"/>
    </row>
    <row r="55" ht="16.5" customHeight="1">
      <c r="A55" s="7">
        <v>53.0</v>
      </c>
      <c r="B55" s="7">
        <v>3.3757462451079E-4</v>
      </c>
      <c r="C55" s="7"/>
    </row>
    <row r="56" ht="16.5" customHeight="1">
      <c r="A56" s="7">
        <v>54.0</v>
      </c>
      <c r="B56" s="7">
        <v>0.00468578842429909</v>
      </c>
      <c r="C56" s="7"/>
    </row>
    <row r="57" ht="16.5" customHeight="1">
      <c r="A57" s="7">
        <v>55.0</v>
      </c>
      <c r="B57" s="7">
        <v>-0.0125149884725841</v>
      </c>
      <c r="C57" s="7"/>
    </row>
    <row r="58" ht="16.5" customHeight="1">
      <c r="A58" s="7">
        <v>56.0</v>
      </c>
      <c r="B58" s="7">
        <v>-0.0045053165898069</v>
      </c>
      <c r="C58" s="7"/>
    </row>
    <row r="59" ht="16.5" customHeight="1">
      <c r="A59" s="7">
        <v>57.0</v>
      </c>
      <c r="B59" s="7">
        <v>-0.00265200649942044</v>
      </c>
      <c r="C59" s="7"/>
    </row>
    <row r="60" ht="16.5" customHeight="1">
      <c r="A60" s="7">
        <v>58.0</v>
      </c>
      <c r="B60" s="7">
        <v>-0.00987024483017223</v>
      </c>
      <c r="C60" s="7"/>
    </row>
    <row r="61" ht="16.5" customHeight="1">
      <c r="A61" s="7">
        <v>59.0</v>
      </c>
      <c r="B61" s="7">
        <v>-0.0102131254698584</v>
      </c>
      <c r="C61" s="7"/>
    </row>
    <row r="62" ht="16.5" customHeight="1">
      <c r="A62" s="7">
        <v>60.0</v>
      </c>
      <c r="B62" s="7">
        <v>-0.00819816874252986</v>
      </c>
      <c r="C62" s="7"/>
    </row>
    <row r="63" ht="16.5" customHeight="1">
      <c r="A63" s="7">
        <v>61.0</v>
      </c>
      <c r="B63" s="7">
        <v>-0.0281289670375631</v>
      </c>
      <c r="C63" s="7"/>
    </row>
    <row r="64" ht="16.5" customHeight="1">
      <c r="A64" s="7">
        <v>62.0</v>
      </c>
      <c r="B64" s="7">
        <v>-0.00283290938097275</v>
      </c>
      <c r="C64" s="7"/>
    </row>
    <row r="65" ht="16.5" customHeight="1">
      <c r="A65" s="7">
        <v>63.0</v>
      </c>
      <c r="B65" s="7">
        <v>-0.0121136814205847</v>
      </c>
      <c r="C65" s="7"/>
    </row>
    <row r="66" ht="16.5" customHeight="1">
      <c r="A66" s="7">
        <v>64.0</v>
      </c>
      <c r="B66" s="7">
        <v>0.0118190078030196</v>
      </c>
      <c r="C66" s="7"/>
    </row>
    <row r="67" ht="16.5" customHeight="1">
      <c r="A67" s="7">
        <v>65.0</v>
      </c>
      <c r="B67" s="7">
        <v>-0.010928438112214</v>
      </c>
      <c r="C67" s="7"/>
    </row>
    <row r="68" ht="16.5" customHeight="1">
      <c r="A68" s="7">
        <v>66.0</v>
      </c>
      <c r="B68" s="7">
        <v>-0.0562586865389905</v>
      </c>
      <c r="C68" s="7"/>
    </row>
    <row r="69" ht="16.5" customHeight="1">
      <c r="A69" s="7">
        <v>67.0</v>
      </c>
      <c r="B69" s="7">
        <v>0.0145157576923505</v>
      </c>
      <c r="C69" s="7"/>
    </row>
    <row r="70" ht="16.5" customHeight="1">
      <c r="A70" s="7">
        <v>68.0</v>
      </c>
      <c r="B70" s="7">
        <v>0.00747943817391675</v>
      </c>
      <c r="C70" s="7"/>
    </row>
    <row r="71" ht="16.5" customHeight="1">
      <c r="A71" s="7">
        <v>69.0</v>
      </c>
      <c r="B71" s="9">
        <v>0.0124248483032127</v>
      </c>
      <c r="C71" s="7"/>
    </row>
    <row r="72" ht="16.5" customHeight="1">
      <c r="A72" s="7">
        <v>70.0</v>
      </c>
      <c r="B72" s="7"/>
      <c r="C72" s="7"/>
    </row>
    <row r="73" ht="16.5" customHeight="1">
      <c r="A73" s="7">
        <v>71.0</v>
      </c>
      <c r="B73" s="7"/>
      <c r="C73" s="7"/>
    </row>
    <row r="74" ht="16.5" customHeight="1">
      <c r="A74" s="7">
        <v>72.0</v>
      </c>
      <c r="B74" s="7"/>
      <c r="C74" s="7"/>
    </row>
    <row r="75" ht="16.5" customHeight="1">
      <c r="A75" s="7">
        <v>73.0</v>
      </c>
      <c r="B75" s="7"/>
      <c r="C75" s="7"/>
    </row>
    <row r="76" ht="16.5" customHeight="1">
      <c r="A76" s="7">
        <v>74.0</v>
      </c>
      <c r="B76" s="7"/>
      <c r="C76" s="7"/>
    </row>
    <row r="77" ht="16.5" customHeight="1">
      <c r="A77" s="7">
        <v>75.0</v>
      </c>
      <c r="B77" s="7"/>
      <c r="C77" s="7"/>
    </row>
    <row r="78" ht="16.5" customHeight="1">
      <c r="A78" s="7">
        <v>76.0</v>
      </c>
      <c r="B78" s="7"/>
      <c r="C78" s="7"/>
    </row>
    <row r="79" ht="16.5" customHeight="1">
      <c r="A79" s="7">
        <v>77.0</v>
      </c>
      <c r="B79" s="7"/>
      <c r="C79" s="7"/>
    </row>
    <row r="80" ht="16.5" customHeight="1">
      <c r="A80" s="7">
        <v>78.0</v>
      </c>
      <c r="B80" s="7"/>
      <c r="C80" s="7"/>
    </row>
    <row r="81" ht="16.5" customHeight="1">
      <c r="A81" s="7">
        <v>79.0</v>
      </c>
      <c r="B81" s="7"/>
      <c r="C81" s="7"/>
    </row>
    <row r="82" ht="16.5" customHeight="1">
      <c r="A82" s="7">
        <v>80.0</v>
      </c>
      <c r="B82" s="7"/>
      <c r="C82" s="7"/>
    </row>
    <row r="83" ht="16.5" customHeight="1">
      <c r="A83" s="7">
        <v>81.0</v>
      </c>
      <c r="B83" s="7"/>
      <c r="C83" s="7"/>
    </row>
    <row r="84" ht="16.5" customHeight="1">
      <c r="A84" s="7">
        <v>82.0</v>
      </c>
      <c r="B84" s="7"/>
      <c r="C84" s="7"/>
    </row>
    <row r="85" ht="16.5" customHeight="1">
      <c r="A85" s="7">
        <v>83.0</v>
      </c>
      <c r="B85" s="7"/>
      <c r="C85" s="7"/>
    </row>
    <row r="86" ht="16.5" customHeight="1">
      <c r="A86" s="7">
        <v>84.0</v>
      </c>
      <c r="B86" s="7"/>
      <c r="C86" s="7"/>
    </row>
    <row r="87" ht="16.5" customHeight="1">
      <c r="A87" s="7">
        <v>85.0</v>
      </c>
      <c r="B87" s="7"/>
      <c r="C87" s="7"/>
    </row>
    <row r="88" ht="16.5" customHeight="1">
      <c r="A88" s="7">
        <v>86.0</v>
      </c>
      <c r="B88" s="7"/>
      <c r="C88" s="7"/>
    </row>
    <row r="89" ht="16.5" customHeight="1">
      <c r="A89" s="7">
        <v>87.0</v>
      </c>
      <c r="B89" s="7"/>
      <c r="C89" s="7"/>
    </row>
    <row r="90" ht="16.5" customHeight="1">
      <c r="A90" s="7">
        <v>88.0</v>
      </c>
      <c r="B90" s="7"/>
      <c r="C90" s="7"/>
    </row>
    <row r="91" ht="16.5" customHeight="1">
      <c r="A91" s="7">
        <v>89.0</v>
      </c>
      <c r="B91" s="7"/>
      <c r="C91" s="7"/>
    </row>
    <row r="92" ht="16.5" customHeight="1">
      <c r="A92" s="7">
        <v>90.0</v>
      </c>
      <c r="B92" s="7"/>
      <c r="C92" s="7"/>
    </row>
    <row r="93" ht="16.5" customHeight="1">
      <c r="A93" s="7">
        <v>91.0</v>
      </c>
      <c r="B93" s="7"/>
      <c r="C93" s="7"/>
    </row>
    <row r="94" ht="16.5" customHeight="1">
      <c r="A94" s="9">
        <v>92.0</v>
      </c>
      <c r="B94" s="9"/>
      <c r="C94" s="9"/>
    </row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33"/>
    <col customWidth="1" min="2" max="3" width="10.89"/>
    <col customWidth="1" min="4" max="4" width="18.11"/>
    <col customWidth="1" min="5" max="5" width="18.78"/>
    <col customWidth="1" min="6" max="6" width="21.44"/>
    <col customWidth="1" min="7" max="7" width="16.0"/>
    <col customWidth="1" min="8" max="24" width="10.89"/>
    <col customWidth="1" min="25" max="26" width="8.56"/>
  </cols>
  <sheetData>
    <row r="1" ht="16.5" customHeight="1">
      <c r="A1" s="2" t="s">
        <v>1</v>
      </c>
      <c r="B1" s="2" t="s">
        <v>3</v>
      </c>
      <c r="C1" s="2" t="s">
        <v>4</v>
      </c>
      <c r="D1" s="2" t="s">
        <v>9</v>
      </c>
      <c r="E1" s="2" t="s">
        <v>10</v>
      </c>
      <c r="F1" s="2" t="s">
        <v>95</v>
      </c>
      <c r="G1" s="21" t="s">
        <v>96</v>
      </c>
    </row>
    <row r="2" ht="16.5" customHeight="1">
      <c r="A2" s="5" t="s">
        <v>11</v>
      </c>
      <c r="B2" s="6" t="s">
        <v>12</v>
      </c>
      <c r="C2" s="5" t="s">
        <v>15</v>
      </c>
      <c r="D2" s="8">
        <v>9.66637E8</v>
      </c>
      <c r="E2" s="8">
        <v>1.516456E9</v>
      </c>
      <c r="F2" s="8">
        <f t="shared" ref="F2:F101" si="1">E2-D2</f>
        <v>549819000</v>
      </c>
      <c r="G2" s="22">
        <f t="shared" ref="G2:G101" si="2">E2/D2</f>
        <v>1.568795732</v>
      </c>
      <c r="T2" s="23" t="s">
        <v>3</v>
      </c>
      <c r="U2" s="23" t="s">
        <v>15</v>
      </c>
      <c r="V2" s="23" t="s">
        <v>71</v>
      </c>
      <c r="W2" s="23" t="s">
        <v>73</v>
      </c>
      <c r="X2" s="23" t="s">
        <v>75</v>
      </c>
    </row>
    <row r="3" ht="16.5" customHeight="1">
      <c r="A3" s="5" t="s">
        <v>11</v>
      </c>
      <c r="B3" s="6" t="s">
        <v>26</v>
      </c>
      <c r="C3" s="5" t="s">
        <v>15</v>
      </c>
      <c r="D3" s="8">
        <v>8.17824E8</v>
      </c>
      <c r="E3" s="8">
        <v>1.108388E9</v>
      </c>
      <c r="F3" s="8">
        <f t="shared" si="1"/>
        <v>290564000</v>
      </c>
      <c r="G3" s="22">
        <f t="shared" si="2"/>
        <v>1.355289158</v>
      </c>
      <c r="T3" s="1">
        <v>2015.0</v>
      </c>
      <c r="U3" s="22">
        <v>1.98662207319655</v>
      </c>
      <c r="V3" s="22">
        <v>0.200881380829967</v>
      </c>
      <c r="W3" s="22">
        <v>0.846296296296296</v>
      </c>
      <c r="X3" s="22">
        <v>2.02990033222591</v>
      </c>
    </row>
    <row r="4" ht="16.5" customHeight="1">
      <c r="A4" s="5" t="s">
        <v>11</v>
      </c>
      <c r="B4" s="6" t="s">
        <v>24</v>
      </c>
      <c r="C4" s="5" t="s">
        <v>15</v>
      </c>
      <c r="D4" s="8">
        <v>7.29404E8</v>
      </c>
      <c r="E4" s="8">
        <v>1.206851E9</v>
      </c>
      <c r="F4" s="8">
        <f t="shared" si="1"/>
        <v>477447000</v>
      </c>
      <c r="G4" s="22">
        <f t="shared" si="2"/>
        <v>1.654571404</v>
      </c>
      <c r="T4" s="1">
        <v>2016.0</v>
      </c>
      <c r="U4" s="22">
        <v>2.6587872558744</v>
      </c>
      <c r="V4" s="22">
        <v>0.814638783065312</v>
      </c>
      <c r="W4" s="22">
        <v>0.450231481481481</v>
      </c>
      <c r="X4" s="22">
        <v>4.44303797468354</v>
      </c>
    </row>
    <row r="5" ht="16.5" customHeight="1">
      <c r="A5" s="5" t="s">
        <v>11</v>
      </c>
      <c r="B5" s="6" t="s">
        <v>34</v>
      </c>
      <c r="C5" s="5" t="s">
        <v>15</v>
      </c>
      <c r="D5" s="8">
        <v>5.26685E8</v>
      </c>
      <c r="E5" s="8">
        <v>1.202873E9</v>
      </c>
      <c r="F5" s="8">
        <f t="shared" si="1"/>
        <v>676188000</v>
      </c>
      <c r="G5" s="22">
        <f t="shared" si="2"/>
        <v>2.283856575</v>
      </c>
      <c r="T5" s="1">
        <v>2017.0</v>
      </c>
      <c r="U5" s="22">
        <v>2.14285714355357</v>
      </c>
      <c r="V5" s="22">
        <v>3.48603352695359</v>
      </c>
      <c r="W5" s="22">
        <v>1.0</v>
      </c>
      <c r="X5" s="22">
        <v>1.56622114216282</v>
      </c>
    </row>
    <row r="6" ht="16.5" customHeight="1">
      <c r="A6" s="5" t="s">
        <v>11</v>
      </c>
      <c r="B6" s="6" t="s">
        <v>37</v>
      </c>
      <c r="C6" s="5" t="s">
        <v>15</v>
      </c>
      <c r="D6" s="8">
        <v>6.50895E8</v>
      </c>
      <c r="E6" s="8">
        <v>1.318114E9</v>
      </c>
      <c r="F6" s="8">
        <f t="shared" si="1"/>
        <v>667219000</v>
      </c>
      <c r="G6" s="22">
        <f t="shared" si="2"/>
        <v>2.025079314</v>
      </c>
      <c r="T6" s="1">
        <v>2018.0</v>
      </c>
      <c r="U6" s="22">
        <v>2.18567639267226</v>
      </c>
      <c r="V6" s="22">
        <v>2.5329052972412</v>
      </c>
      <c r="W6" s="22">
        <v>2.63683373110581</v>
      </c>
      <c r="X6" s="22">
        <v>2.02664576802508</v>
      </c>
    </row>
    <row r="7" ht="16.5" customHeight="1">
      <c r="A7" s="5" t="s">
        <v>11</v>
      </c>
      <c r="B7" s="6" t="s">
        <v>43</v>
      </c>
      <c r="C7" s="5" t="s">
        <v>15</v>
      </c>
      <c r="D7" s="8">
        <v>9.42727E8</v>
      </c>
      <c r="E7" s="8">
        <v>1.714668E9</v>
      </c>
      <c r="F7" s="8">
        <f t="shared" si="1"/>
        <v>771941000</v>
      </c>
      <c r="G7" s="22">
        <f t="shared" si="2"/>
        <v>1.818838328</v>
      </c>
      <c r="T7" s="1">
        <v>2019.0</v>
      </c>
      <c r="U7" s="22">
        <v>8.28320803356916</v>
      </c>
      <c r="V7" s="22">
        <v>3.16718266525504</v>
      </c>
      <c r="W7" s="22">
        <v>1.79340127828641</v>
      </c>
      <c r="X7" s="22">
        <v>1.13247863247863</v>
      </c>
    </row>
    <row r="8" ht="16.5" customHeight="1">
      <c r="A8" s="5" t="s">
        <v>11</v>
      </c>
      <c r="B8" s="6" t="s">
        <v>47</v>
      </c>
      <c r="C8" s="5" t="s">
        <v>15</v>
      </c>
      <c r="D8" s="8">
        <v>1.3959E9</v>
      </c>
      <c r="E8" s="8">
        <v>2.3487E9</v>
      </c>
      <c r="F8" s="8">
        <f t="shared" si="1"/>
        <v>952800000</v>
      </c>
      <c r="G8" s="22">
        <f t="shared" si="2"/>
        <v>1.682570385</v>
      </c>
      <c r="T8" s="1">
        <v>2020.0</v>
      </c>
      <c r="U8" s="22">
        <v>0.467864372426141</v>
      </c>
      <c r="V8" s="22">
        <v>5.88047809315074</v>
      </c>
      <c r="W8" s="22">
        <v>1.8085678807947</v>
      </c>
      <c r="X8" s="22">
        <v>1.12411347517731</v>
      </c>
    </row>
    <row r="9" ht="16.5" customHeight="1">
      <c r="A9" s="5" t="s">
        <v>11</v>
      </c>
      <c r="B9" s="6" t="s">
        <v>48</v>
      </c>
      <c r="C9" s="5" t="s">
        <v>15</v>
      </c>
      <c r="D9" s="8">
        <v>1.39933E9</v>
      </c>
      <c r="E9" s="8">
        <v>2.9671E9</v>
      </c>
      <c r="F9" s="8">
        <f t="shared" si="1"/>
        <v>1567770000</v>
      </c>
      <c r="G9" s="22">
        <f t="shared" si="2"/>
        <v>2.120371892</v>
      </c>
      <c r="T9" s="1">
        <v>2021.0</v>
      </c>
      <c r="U9" s="22">
        <v>1.86247544214195</v>
      </c>
      <c r="V9" s="22">
        <v>2.94682230999366</v>
      </c>
      <c r="W9" s="22">
        <v>2.4773394196283</v>
      </c>
      <c r="X9" s="22">
        <v>2.20594965675057</v>
      </c>
    </row>
    <row r="10" ht="16.5" customHeight="1">
      <c r="A10" s="5" t="s">
        <v>11</v>
      </c>
      <c r="B10" s="6" t="s">
        <v>49</v>
      </c>
      <c r="C10" s="5" t="s">
        <v>15</v>
      </c>
      <c r="D10" s="8">
        <v>1.786E9</v>
      </c>
      <c r="E10" s="8">
        <v>3.784E9</v>
      </c>
      <c r="F10" s="8">
        <f t="shared" si="1"/>
        <v>1998000000</v>
      </c>
      <c r="G10" s="22">
        <f t="shared" si="2"/>
        <v>2.118701008</v>
      </c>
      <c r="T10" s="1">
        <v>2022.0</v>
      </c>
      <c r="U10" s="22">
        <v>1.34007604569332</v>
      </c>
      <c r="V10" s="22">
        <v>1.99562171616877</v>
      </c>
      <c r="W10" s="22">
        <v>2.42891183478952</v>
      </c>
      <c r="X10" s="22">
        <v>0.679028132992327</v>
      </c>
    </row>
    <row r="11" ht="16.5" customHeight="1">
      <c r="A11" s="5" t="s">
        <v>11</v>
      </c>
      <c r="B11" s="6" t="s">
        <v>50</v>
      </c>
      <c r="C11" s="5" t="s">
        <v>15</v>
      </c>
      <c r="D11" s="8">
        <v>1.3648E9</v>
      </c>
      <c r="E11" s="8">
        <v>1.859E9</v>
      </c>
      <c r="F11" s="8">
        <f t="shared" si="1"/>
        <v>494200000</v>
      </c>
      <c r="G11" s="22">
        <f t="shared" si="2"/>
        <v>1.362104338</v>
      </c>
      <c r="T11" s="1">
        <v>2023.0</v>
      </c>
      <c r="U11" s="22">
        <v>3.56852497162394</v>
      </c>
      <c r="V11" s="22">
        <v>2.32382310986814</v>
      </c>
      <c r="W11" s="22">
        <v>2.42454308093995</v>
      </c>
      <c r="X11" s="22">
        <v>-0.552356020942408</v>
      </c>
    </row>
    <row r="12" ht="16.5" customHeight="1">
      <c r="A12" s="5" t="s">
        <v>11</v>
      </c>
      <c r="B12" s="6" t="s">
        <v>51</v>
      </c>
      <c r="C12" s="5" t="s">
        <v>15</v>
      </c>
      <c r="D12" s="8">
        <v>1.397225228E9</v>
      </c>
      <c r="E12" s="8">
        <v>2.070254846E9</v>
      </c>
      <c r="F12" s="8">
        <f t="shared" si="1"/>
        <v>673029618</v>
      </c>
      <c r="G12" s="22">
        <f t="shared" si="2"/>
        <v>1.481690142</v>
      </c>
      <c r="T12" s="1">
        <v>2024.0</v>
      </c>
      <c r="U12" s="22">
        <v>1.60367526068177</v>
      </c>
      <c r="V12" s="22">
        <v>2.45055889988073</v>
      </c>
      <c r="W12" s="22">
        <v>1.72674548293553</v>
      </c>
      <c r="X12" s="22">
        <v>1.04896421845574</v>
      </c>
    </row>
    <row r="13" ht="16.5" customHeight="1">
      <c r="A13" s="5" t="s">
        <v>11</v>
      </c>
      <c r="B13" s="6" t="s">
        <v>55</v>
      </c>
      <c r="C13" s="5" t="s">
        <v>15</v>
      </c>
      <c r="D13" s="8">
        <v>1.631547853E9</v>
      </c>
      <c r="E13" s="8">
        <v>2.207562032E9</v>
      </c>
      <c r="F13" s="8">
        <f t="shared" si="1"/>
        <v>576014179</v>
      </c>
      <c r="G13" s="22">
        <f t="shared" si="2"/>
        <v>1.353047677</v>
      </c>
    </row>
    <row r="14" ht="16.5" customHeight="1">
      <c r="A14" s="5" t="s">
        <v>11</v>
      </c>
      <c r="B14" s="6" t="s">
        <v>57</v>
      </c>
      <c r="C14" s="5" t="s">
        <v>15</v>
      </c>
      <c r="D14" s="8">
        <v>2.043528505E9</v>
      </c>
      <c r="E14" s="8">
        <v>3.346494607E9</v>
      </c>
      <c r="F14" s="8">
        <f t="shared" si="1"/>
        <v>1302966102</v>
      </c>
      <c r="G14" s="22">
        <f t="shared" si="2"/>
        <v>1.637606032</v>
      </c>
    </row>
    <row r="15" ht="16.5" customHeight="1">
      <c r="A15" s="5" t="s">
        <v>11</v>
      </c>
      <c r="B15" s="6" t="s">
        <v>58</v>
      </c>
      <c r="C15" s="5" t="s">
        <v>15</v>
      </c>
      <c r="D15" s="8">
        <v>1.974742959E9</v>
      </c>
      <c r="E15" s="8">
        <v>3.721502011E9</v>
      </c>
      <c r="F15" s="8">
        <f t="shared" si="1"/>
        <v>1746759052</v>
      </c>
      <c r="G15" s="22">
        <f t="shared" si="2"/>
        <v>1.884550085</v>
      </c>
    </row>
    <row r="16" ht="16.5" customHeight="1">
      <c r="A16" s="5" t="s">
        <v>11</v>
      </c>
      <c r="B16" s="6" t="s">
        <v>59</v>
      </c>
      <c r="C16" s="5" t="s">
        <v>15</v>
      </c>
      <c r="D16" s="8">
        <v>3.067544501E9</v>
      </c>
      <c r="E16" s="8">
        <v>5.83394294E9</v>
      </c>
      <c r="F16" s="8">
        <f t="shared" si="1"/>
        <v>2766398439</v>
      </c>
      <c r="G16" s="22">
        <f t="shared" si="2"/>
        <v>1.901828299</v>
      </c>
    </row>
    <row r="17" ht="16.5" customHeight="1">
      <c r="A17" s="5" t="s">
        <v>11</v>
      </c>
      <c r="B17" s="6" t="s">
        <v>60</v>
      </c>
      <c r="C17" s="5" t="s">
        <v>15</v>
      </c>
      <c r="D17" s="8">
        <v>1.637010676E9</v>
      </c>
      <c r="E17" s="8">
        <v>3.252121543E9</v>
      </c>
      <c r="F17" s="8">
        <f t="shared" si="1"/>
        <v>1615110867</v>
      </c>
      <c r="G17" s="22">
        <f t="shared" si="2"/>
        <v>1.986622073</v>
      </c>
    </row>
    <row r="18" ht="16.5" customHeight="1">
      <c r="A18" s="5" t="s">
        <v>11</v>
      </c>
      <c r="B18" s="6" t="s">
        <v>61</v>
      </c>
      <c r="C18" s="5" t="s">
        <v>15</v>
      </c>
      <c r="D18" s="8">
        <v>1.344665561E9</v>
      </c>
      <c r="E18" s="8">
        <v>3.575179657E9</v>
      </c>
      <c r="F18" s="8">
        <f t="shared" si="1"/>
        <v>2230514096</v>
      </c>
      <c r="G18" s="22">
        <f t="shared" si="2"/>
        <v>2.658787256</v>
      </c>
    </row>
    <row r="19" ht="16.5" customHeight="1">
      <c r="A19" s="5" t="s">
        <v>11</v>
      </c>
      <c r="B19" s="6" t="s">
        <v>62</v>
      </c>
      <c r="C19" s="5" t="s">
        <v>15</v>
      </c>
      <c r="D19" s="8">
        <v>1.435897435E9</v>
      </c>
      <c r="E19" s="8">
        <v>3.076923076E9</v>
      </c>
      <c r="F19" s="8">
        <f t="shared" si="1"/>
        <v>1641025641</v>
      </c>
      <c r="G19" s="22">
        <f t="shared" si="2"/>
        <v>2.142857144</v>
      </c>
    </row>
    <row r="20" ht="16.5" customHeight="1">
      <c r="A20" s="5" t="s">
        <v>11</v>
      </c>
      <c r="B20" s="6" t="s">
        <v>63</v>
      </c>
      <c r="C20" s="5" t="s">
        <v>15</v>
      </c>
      <c r="D20" s="8">
        <v>2.136582601E9</v>
      </c>
      <c r="E20" s="8">
        <v>4.669878152E9</v>
      </c>
      <c r="F20" s="8">
        <f t="shared" si="1"/>
        <v>2533295551</v>
      </c>
      <c r="G20" s="22">
        <f t="shared" si="2"/>
        <v>2.185676393</v>
      </c>
    </row>
    <row r="21" ht="16.5" customHeight="1">
      <c r="A21" s="5" t="s">
        <v>11</v>
      </c>
      <c r="B21" s="6" t="s">
        <v>64</v>
      </c>
      <c r="C21" s="5" t="s">
        <v>15</v>
      </c>
      <c r="D21" s="8">
        <v>5.69511846E8</v>
      </c>
      <c r="E21" s="8">
        <v>4.717385098E9</v>
      </c>
      <c r="F21" s="8">
        <f t="shared" si="1"/>
        <v>4147873252</v>
      </c>
      <c r="G21" s="22">
        <f t="shared" si="2"/>
        <v>8.283208034</v>
      </c>
    </row>
    <row r="22" ht="16.5" customHeight="1">
      <c r="A22" s="5" t="s">
        <v>11</v>
      </c>
      <c r="B22" s="6" t="s">
        <v>65</v>
      </c>
      <c r="C22" s="5" t="s">
        <v>15</v>
      </c>
      <c r="D22" s="8">
        <v>5.13113477E9</v>
      </c>
      <c r="E22" s="8">
        <v>2.400675149E9</v>
      </c>
      <c r="F22" s="8">
        <f t="shared" si="1"/>
        <v>-2730459621</v>
      </c>
      <c r="G22" s="22">
        <f t="shared" si="2"/>
        <v>0.4678643724</v>
      </c>
    </row>
    <row r="23" ht="16.5" customHeight="1">
      <c r="A23" s="5" t="s">
        <v>11</v>
      </c>
      <c r="B23" s="6" t="s">
        <v>66</v>
      </c>
      <c r="C23" s="5" t="s">
        <v>15</v>
      </c>
      <c r="D23" s="8">
        <v>2.805953693E9</v>
      </c>
      <c r="E23" s="8">
        <v>5.226019845E9</v>
      </c>
      <c r="F23" s="8">
        <f t="shared" si="1"/>
        <v>2420066152</v>
      </c>
      <c r="G23" s="22">
        <f t="shared" si="2"/>
        <v>1.862475442</v>
      </c>
    </row>
    <row r="24" ht="16.5" customHeight="1">
      <c r="A24" s="5" t="s">
        <v>11</v>
      </c>
      <c r="B24" s="6" t="s">
        <v>67</v>
      </c>
      <c r="C24" s="5" t="s">
        <v>15</v>
      </c>
      <c r="D24" s="8">
        <v>9.704797047E9</v>
      </c>
      <c r="E24" s="8">
        <v>1.3005166051E10</v>
      </c>
      <c r="F24" s="8">
        <f t="shared" si="1"/>
        <v>3300369004</v>
      </c>
      <c r="G24" s="22">
        <f t="shared" si="2"/>
        <v>1.340076046</v>
      </c>
    </row>
    <row r="25" ht="16.5" customHeight="1">
      <c r="A25" s="5" t="s">
        <v>11</v>
      </c>
      <c r="B25" s="6" t="s">
        <v>68</v>
      </c>
      <c r="C25" s="5" t="s">
        <v>15</v>
      </c>
      <c r="D25" s="8">
        <v>2.517543859E9</v>
      </c>
      <c r="E25" s="8">
        <v>8.983918128E9</v>
      </c>
      <c r="F25" s="8">
        <f t="shared" si="1"/>
        <v>6466374269</v>
      </c>
      <c r="G25" s="22">
        <f t="shared" si="2"/>
        <v>3.568524972</v>
      </c>
    </row>
    <row r="26" ht="16.5" customHeight="1">
      <c r="A26" s="5" t="s">
        <v>11</v>
      </c>
      <c r="B26" s="6" t="s">
        <v>69</v>
      </c>
      <c r="C26" s="5" t="s">
        <v>15</v>
      </c>
      <c r="D26" s="8">
        <v>5.864564902E9</v>
      </c>
      <c r="E26" s="8">
        <v>9.404857648E9</v>
      </c>
      <c r="F26" s="8">
        <f t="shared" si="1"/>
        <v>3540292746</v>
      </c>
      <c r="G26" s="22">
        <f t="shared" si="2"/>
        <v>1.603675261</v>
      </c>
    </row>
    <row r="27" ht="16.5" customHeight="1">
      <c r="A27" s="5" t="s">
        <v>70</v>
      </c>
      <c r="B27" s="6" t="s">
        <v>12</v>
      </c>
      <c r="C27" s="5" t="s">
        <v>71</v>
      </c>
      <c r="D27" s="8">
        <v>4.868E8</v>
      </c>
      <c r="E27" s="8">
        <v>1.023E9</v>
      </c>
      <c r="F27" s="8">
        <f t="shared" si="1"/>
        <v>536200000</v>
      </c>
      <c r="G27" s="22">
        <f t="shared" si="2"/>
        <v>2.101479047</v>
      </c>
    </row>
    <row r="28" ht="16.5" customHeight="1">
      <c r="A28" s="5" t="s">
        <v>70</v>
      </c>
      <c r="B28" s="6" t="s">
        <v>26</v>
      </c>
      <c r="C28" s="5" t="s">
        <v>71</v>
      </c>
      <c r="D28" s="8">
        <v>4.459E8</v>
      </c>
      <c r="E28" s="8">
        <v>6.921E8</v>
      </c>
      <c r="F28" s="8">
        <f t="shared" si="1"/>
        <v>246200000</v>
      </c>
      <c r="G28" s="22">
        <f t="shared" si="2"/>
        <v>1.552141736</v>
      </c>
    </row>
    <row r="29" ht="16.5" customHeight="1">
      <c r="A29" s="5" t="s">
        <v>70</v>
      </c>
      <c r="B29" s="6" t="s">
        <v>24</v>
      </c>
      <c r="C29" s="5" t="s">
        <v>71</v>
      </c>
      <c r="D29" s="8">
        <v>3.221E8</v>
      </c>
      <c r="E29" s="8">
        <v>8.208E8</v>
      </c>
      <c r="F29" s="8">
        <f t="shared" si="1"/>
        <v>498700000</v>
      </c>
      <c r="G29" s="22">
        <f t="shared" si="2"/>
        <v>2.548276933</v>
      </c>
    </row>
    <row r="30" ht="16.5" customHeight="1">
      <c r="A30" s="5" t="s">
        <v>70</v>
      </c>
      <c r="B30" s="6" t="s">
        <v>34</v>
      </c>
      <c r="C30" s="5" t="s">
        <v>71</v>
      </c>
      <c r="D30" s="8">
        <v>2.1648E8</v>
      </c>
      <c r="E30" s="8">
        <v>8.973E8</v>
      </c>
      <c r="F30" s="8">
        <f t="shared" si="1"/>
        <v>680820000</v>
      </c>
      <c r="G30" s="22">
        <f t="shared" si="2"/>
        <v>4.144955654</v>
      </c>
    </row>
    <row r="31" ht="16.5" customHeight="1">
      <c r="A31" s="5" t="s">
        <v>70</v>
      </c>
      <c r="B31" s="6" t="s">
        <v>37</v>
      </c>
      <c r="C31" s="5" t="s">
        <v>71</v>
      </c>
      <c r="D31" s="8">
        <v>3.139E8</v>
      </c>
      <c r="E31" s="8">
        <v>6.05E8</v>
      </c>
      <c r="F31" s="8">
        <f t="shared" si="1"/>
        <v>291100000</v>
      </c>
      <c r="G31" s="22">
        <f t="shared" si="2"/>
        <v>1.927365403</v>
      </c>
    </row>
    <row r="32" ht="16.5" customHeight="1">
      <c r="A32" s="5" t="s">
        <v>70</v>
      </c>
      <c r="B32" s="6" t="s">
        <v>43</v>
      </c>
      <c r="C32" s="5" t="s">
        <v>71</v>
      </c>
      <c r="D32" s="8">
        <v>6.222E8</v>
      </c>
      <c r="E32" s="8">
        <v>1.4579E9</v>
      </c>
      <c r="F32" s="8">
        <f t="shared" si="1"/>
        <v>835700000</v>
      </c>
      <c r="G32" s="22">
        <f t="shared" si="2"/>
        <v>2.343137255</v>
      </c>
    </row>
    <row r="33" ht="16.5" customHeight="1">
      <c r="A33" s="5" t="s">
        <v>70</v>
      </c>
      <c r="B33" s="6" t="s">
        <v>47</v>
      </c>
      <c r="C33" s="5" t="s">
        <v>71</v>
      </c>
      <c r="D33" s="8">
        <v>6.526575E8</v>
      </c>
      <c r="E33" s="8">
        <v>1.5503E9</v>
      </c>
      <c r="F33" s="8">
        <f t="shared" si="1"/>
        <v>897642500</v>
      </c>
      <c r="G33" s="22">
        <f t="shared" si="2"/>
        <v>2.375365333</v>
      </c>
    </row>
    <row r="34" ht="16.5" customHeight="1">
      <c r="A34" s="5" t="s">
        <v>70</v>
      </c>
      <c r="B34" s="6" t="s">
        <v>48</v>
      </c>
      <c r="C34" s="5" t="s">
        <v>71</v>
      </c>
      <c r="D34" s="8">
        <v>5.484E8</v>
      </c>
      <c r="E34" s="8">
        <v>1.2139E9</v>
      </c>
      <c r="F34" s="8">
        <f t="shared" si="1"/>
        <v>665500000</v>
      </c>
      <c r="G34" s="22">
        <f t="shared" si="2"/>
        <v>2.21353027</v>
      </c>
    </row>
    <row r="35" ht="16.5" customHeight="1">
      <c r="A35" s="5" t="s">
        <v>70</v>
      </c>
      <c r="B35" s="6" t="s">
        <v>49</v>
      </c>
      <c r="C35" s="5" t="s">
        <v>71</v>
      </c>
      <c r="D35" s="8">
        <v>6.497E8</v>
      </c>
      <c r="E35" s="8">
        <v>1.4732E9</v>
      </c>
      <c r="F35" s="8">
        <f t="shared" si="1"/>
        <v>823500000</v>
      </c>
      <c r="G35" s="22">
        <f t="shared" si="2"/>
        <v>2.267508081</v>
      </c>
    </row>
    <row r="36" ht="16.5" customHeight="1">
      <c r="A36" s="5" t="s">
        <v>70</v>
      </c>
      <c r="B36" s="6" t="s">
        <v>50</v>
      </c>
      <c r="C36" s="5" t="s">
        <v>71</v>
      </c>
      <c r="D36" s="8">
        <v>2.57E8</v>
      </c>
      <c r="E36" s="8">
        <v>1.155E9</v>
      </c>
      <c r="F36" s="8">
        <f t="shared" si="1"/>
        <v>898000000</v>
      </c>
      <c r="G36" s="22">
        <f t="shared" si="2"/>
        <v>4.494163424</v>
      </c>
    </row>
    <row r="37" ht="16.5" customHeight="1">
      <c r="A37" s="5" t="s">
        <v>70</v>
      </c>
      <c r="B37" s="6" t="s">
        <v>51</v>
      </c>
      <c r="C37" s="5" t="s">
        <v>71</v>
      </c>
      <c r="D37" s="8">
        <v>3.74E8</v>
      </c>
      <c r="E37" s="8">
        <v>1.267E9</v>
      </c>
      <c r="F37" s="8">
        <f t="shared" si="1"/>
        <v>893000000</v>
      </c>
      <c r="G37" s="22">
        <f t="shared" si="2"/>
        <v>3.387700535</v>
      </c>
    </row>
    <row r="38" ht="16.5" customHeight="1">
      <c r="A38" s="5" t="s">
        <v>70</v>
      </c>
      <c r="B38" s="6" t="s">
        <v>55</v>
      </c>
      <c r="C38" s="5" t="s">
        <v>71</v>
      </c>
      <c r="D38" s="8">
        <v>4.51E8</v>
      </c>
      <c r="E38" s="8">
        <v>1.253E9</v>
      </c>
      <c r="F38" s="8">
        <f t="shared" si="1"/>
        <v>802000000</v>
      </c>
      <c r="G38" s="22">
        <f t="shared" si="2"/>
        <v>2.77827051</v>
      </c>
    </row>
    <row r="39" ht="16.5" customHeight="1">
      <c r="A39" s="5" t="s">
        <v>70</v>
      </c>
      <c r="B39" s="6" t="s">
        <v>57</v>
      </c>
      <c r="C39" s="5" t="s">
        <v>71</v>
      </c>
      <c r="D39" s="8">
        <v>4.31E8</v>
      </c>
      <c r="E39" s="8">
        <v>1.658E9</v>
      </c>
      <c r="F39" s="8">
        <f t="shared" si="1"/>
        <v>1227000000</v>
      </c>
      <c r="G39" s="22">
        <f t="shared" si="2"/>
        <v>3.846867749</v>
      </c>
    </row>
    <row r="40" ht="16.5" customHeight="1">
      <c r="A40" s="5" t="s">
        <v>70</v>
      </c>
      <c r="B40" s="6" t="s">
        <v>58</v>
      </c>
      <c r="C40" s="5" t="s">
        <v>71</v>
      </c>
      <c r="D40" s="8">
        <v>5.04E8</v>
      </c>
      <c r="E40" s="8">
        <v>1.628E9</v>
      </c>
      <c r="F40" s="8">
        <f t="shared" si="1"/>
        <v>1124000000</v>
      </c>
      <c r="G40" s="22">
        <f t="shared" si="2"/>
        <v>3.23015873</v>
      </c>
    </row>
    <row r="41" ht="16.5" customHeight="1">
      <c r="A41" s="5" t="s">
        <v>70</v>
      </c>
      <c r="B41" s="6" t="s">
        <v>59</v>
      </c>
      <c r="C41" s="5" t="s">
        <v>71</v>
      </c>
      <c r="D41" s="8">
        <v>5.33E8</v>
      </c>
      <c r="E41" s="8">
        <v>1.843E9</v>
      </c>
      <c r="F41" s="8">
        <f t="shared" si="1"/>
        <v>1310000000</v>
      </c>
      <c r="G41" s="22">
        <f t="shared" si="2"/>
        <v>3.457786116</v>
      </c>
    </row>
    <row r="42" ht="16.5" customHeight="1">
      <c r="A42" s="5" t="s">
        <v>70</v>
      </c>
      <c r="B42" s="6" t="s">
        <v>60</v>
      </c>
      <c r="C42" s="5" t="s">
        <v>71</v>
      </c>
      <c r="D42" s="8">
        <v>5.446E9</v>
      </c>
      <c r="E42" s="8">
        <v>1.094E9</v>
      </c>
      <c r="F42" s="8">
        <f t="shared" si="1"/>
        <v>-4352000000</v>
      </c>
      <c r="G42" s="22">
        <f t="shared" si="2"/>
        <v>0.2008813808</v>
      </c>
    </row>
    <row r="43" ht="16.5" customHeight="1">
      <c r="A43" s="5" t="s">
        <v>70</v>
      </c>
      <c r="B43" s="6" t="s">
        <v>61</v>
      </c>
      <c r="C43" s="5" t="s">
        <v>71</v>
      </c>
      <c r="D43" s="8">
        <v>1.453841901E9</v>
      </c>
      <c r="E43" s="8">
        <v>1.184355997E9</v>
      </c>
      <c r="F43" s="8">
        <f t="shared" si="1"/>
        <v>-269485904</v>
      </c>
      <c r="G43" s="22">
        <f t="shared" si="2"/>
        <v>0.8146387831</v>
      </c>
    </row>
    <row r="44" ht="16.5" customHeight="1">
      <c r="A44" s="5" t="s">
        <v>70</v>
      </c>
      <c r="B44" s="6" t="s">
        <v>62</v>
      </c>
      <c r="C44" s="5" t="s">
        <v>71</v>
      </c>
      <c r="D44" s="8">
        <v>4.58974358E8</v>
      </c>
      <c r="E44" s="8">
        <v>1.6E9</v>
      </c>
      <c r="F44" s="8">
        <f t="shared" si="1"/>
        <v>1141025642</v>
      </c>
      <c r="G44" s="22">
        <f t="shared" si="2"/>
        <v>3.486033527</v>
      </c>
    </row>
    <row r="45" ht="16.5" customHeight="1">
      <c r="A45" s="5" t="s">
        <v>70</v>
      </c>
      <c r="B45" s="6" t="s">
        <v>63</v>
      </c>
      <c r="C45" s="5" t="s">
        <v>71</v>
      </c>
      <c r="D45" s="8">
        <v>8.82686313E8</v>
      </c>
      <c r="E45" s="8">
        <v>2.235760838E9</v>
      </c>
      <c r="F45" s="8">
        <f t="shared" si="1"/>
        <v>1353074525</v>
      </c>
      <c r="G45" s="22">
        <f t="shared" si="2"/>
        <v>2.532905297</v>
      </c>
    </row>
    <row r="46" ht="16.5" customHeight="1">
      <c r="A46" s="5" t="s">
        <v>70</v>
      </c>
      <c r="B46" s="6" t="s">
        <v>64</v>
      </c>
      <c r="C46" s="5" t="s">
        <v>71</v>
      </c>
      <c r="D46" s="8">
        <v>9.22066799E8</v>
      </c>
      <c r="E46" s="8">
        <v>2.920353982E9</v>
      </c>
      <c r="F46" s="8">
        <f t="shared" si="1"/>
        <v>1998287183</v>
      </c>
      <c r="G46" s="22">
        <f t="shared" si="2"/>
        <v>3.167182665</v>
      </c>
    </row>
    <row r="47" ht="16.5" customHeight="1">
      <c r="A47" s="5" t="s">
        <v>70</v>
      </c>
      <c r="B47" s="6" t="s">
        <v>65</v>
      </c>
      <c r="C47" s="5" t="s">
        <v>71</v>
      </c>
      <c r="D47" s="8">
        <v>3.25889379E8</v>
      </c>
      <c r="E47" s="8">
        <v>1.916385354E9</v>
      </c>
      <c r="F47" s="8">
        <f t="shared" si="1"/>
        <v>1590495975</v>
      </c>
      <c r="G47" s="22">
        <f t="shared" si="2"/>
        <v>5.880478093</v>
      </c>
    </row>
    <row r="48" ht="16.5" customHeight="1">
      <c r="A48" s="5" t="s">
        <v>70</v>
      </c>
      <c r="B48" s="6" t="s">
        <v>66</v>
      </c>
      <c r="C48" s="5" t="s">
        <v>71</v>
      </c>
      <c r="D48" s="8">
        <v>1.062568908E9</v>
      </c>
      <c r="E48" s="8">
        <v>3.131201764E9</v>
      </c>
      <c r="F48" s="8">
        <f t="shared" si="1"/>
        <v>2068632856</v>
      </c>
      <c r="G48" s="22">
        <f t="shared" si="2"/>
        <v>2.94682231</v>
      </c>
    </row>
    <row r="49" ht="16.5" customHeight="1">
      <c r="A49" s="5" t="s">
        <v>70</v>
      </c>
      <c r="B49" s="6" t="s">
        <v>67</v>
      </c>
      <c r="C49" s="5" t="s">
        <v>71</v>
      </c>
      <c r="D49" s="8">
        <v>3.371217712E9</v>
      </c>
      <c r="E49" s="8">
        <v>6.727675276E9</v>
      </c>
      <c r="F49" s="8">
        <f t="shared" si="1"/>
        <v>3356457564</v>
      </c>
      <c r="G49" s="22">
        <f t="shared" si="2"/>
        <v>1.995621716</v>
      </c>
    </row>
    <row r="50" ht="16.5" customHeight="1">
      <c r="A50" s="5" t="s">
        <v>70</v>
      </c>
      <c r="B50" s="6" t="s">
        <v>68</v>
      </c>
      <c r="C50" s="5" t="s">
        <v>71</v>
      </c>
      <c r="D50" s="8">
        <v>2.049707602E9</v>
      </c>
      <c r="E50" s="8">
        <v>4.763157894E9</v>
      </c>
      <c r="F50" s="8">
        <f t="shared" si="1"/>
        <v>2713450292</v>
      </c>
      <c r="G50" s="22">
        <f t="shared" si="2"/>
        <v>2.32382311</v>
      </c>
    </row>
    <row r="51" ht="16.5" customHeight="1">
      <c r="A51" s="5" t="s">
        <v>70</v>
      </c>
      <c r="B51" s="6" t="s">
        <v>69</v>
      </c>
      <c r="C51" s="5" t="s">
        <v>71</v>
      </c>
      <c r="D51" s="8">
        <v>1.870677175E9</v>
      </c>
      <c r="E51" s="8">
        <v>4.5842046E9</v>
      </c>
      <c r="F51" s="8">
        <f t="shared" si="1"/>
        <v>2713527425</v>
      </c>
      <c r="G51" s="22">
        <f t="shared" si="2"/>
        <v>2.4505589</v>
      </c>
    </row>
    <row r="52" ht="16.5" customHeight="1">
      <c r="A52" s="5" t="s">
        <v>72</v>
      </c>
      <c r="B52" s="6" t="s">
        <v>12</v>
      </c>
      <c r="C52" s="5" t="s">
        <v>73</v>
      </c>
      <c r="D52" s="8">
        <v>2440000.0</v>
      </c>
      <c r="E52" s="8">
        <v>3194000.0</v>
      </c>
      <c r="F52" s="8">
        <f t="shared" si="1"/>
        <v>754000</v>
      </c>
      <c r="G52" s="22">
        <f t="shared" si="2"/>
        <v>1.309016393</v>
      </c>
    </row>
    <row r="53" ht="16.5" customHeight="1">
      <c r="A53" s="5" t="s">
        <v>72</v>
      </c>
      <c r="B53" s="6" t="s">
        <v>26</v>
      </c>
      <c r="C53" s="5" t="s">
        <v>73</v>
      </c>
      <c r="D53" s="8">
        <v>3614000.0</v>
      </c>
      <c r="E53" s="8">
        <v>-877000.0</v>
      </c>
      <c r="F53" s="8">
        <f t="shared" si="1"/>
        <v>-4491000</v>
      </c>
      <c r="G53" s="22">
        <f t="shared" si="2"/>
        <v>-0.2426674045</v>
      </c>
    </row>
    <row r="54" ht="16.5" customHeight="1">
      <c r="A54" s="5" t="s">
        <v>72</v>
      </c>
      <c r="B54" s="6" t="s">
        <v>24</v>
      </c>
      <c r="C54" s="5" t="s">
        <v>73</v>
      </c>
      <c r="D54" s="8">
        <v>2863000.0</v>
      </c>
      <c r="E54" s="8">
        <v>4545000.0</v>
      </c>
      <c r="F54" s="8">
        <f t="shared" si="1"/>
        <v>1682000</v>
      </c>
      <c r="G54" s="22">
        <f t="shared" si="2"/>
        <v>1.587495634</v>
      </c>
    </row>
    <row r="55" ht="16.5" customHeight="1">
      <c r="A55" s="5" t="s">
        <v>72</v>
      </c>
      <c r="B55" s="6" t="s">
        <v>34</v>
      </c>
      <c r="C55" s="5" t="s">
        <v>73</v>
      </c>
      <c r="D55" s="8">
        <v>7895000.0</v>
      </c>
      <c r="E55" s="8">
        <v>1.7123E7</v>
      </c>
      <c r="F55" s="8">
        <f t="shared" si="1"/>
        <v>9228000</v>
      </c>
      <c r="G55" s="22">
        <f t="shared" si="2"/>
        <v>2.168841039</v>
      </c>
    </row>
    <row r="56" ht="16.5" customHeight="1">
      <c r="A56" s="5" t="s">
        <v>72</v>
      </c>
      <c r="B56" s="6" t="s">
        <v>37</v>
      </c>
      <c r="C56" s="5" t="s">
        <v>73</v>
      </c>
      <c r="D56" s="8">
        <v>9044000.0</v>
      </c>
      <c r="E56" s="8">
        <v>2.0941E7</v>
      </c>
      <c r="F56" s="8">
        <f t="shared" si="1"/>
        <v>11897000</v>
      </c>
      <c r="G56" s="22">
        <f t="shared" si="2"/>
        <v>2.315457762</v>
      </c>
    </row>
    <row r="57" ht="16.5" customHeight="1">
      <c r="A57" s="5" t="s">
        <v>72</v>
      </c>
      <c r="B57" s="6" t="s">
        <v>43</v>
      </c>
      <c r="C57" s="5" t="s">
        <v>73</v>
      </c>
      <c r="D57" s="8">
        <v>1.9909E7</v>
      </c>
      <c r="E57" s="8">
        <v>3.889E7</v>
      </c>
      <c r="F57" s="8">
        <f t="shared" si="1"/>
        <v>18981000</v>
      </c>
      <c r="G57" s="22">
        <f t="shared" si="2"/>
        <v>1.953387915</v>
      </c>
    </row>
    <row r="58" ht="16.5" customHeight="1">
      <c r="A58" s="5" t="s">
        <v>72</v>
      </c>
      <c r="B58" s="6" t="s">
        <v>47</v>
      </c>
      <c r="C58" s="5" t="s">
        <v>73</v>
      </c>
      <c r="D58" s="8">
        <v>1.5956E7</v>
      </c>
      <c r="E58" s="8">
        <v>6.334E7</v>
      </c>
      <c r="F58" s="8">
        <f t="shared" si="1"/>
        <v>47384000</v>
      </c>
      <c r="G58" s="22">
        <f t="shared" si="2"/>
        <v>3.969666583</v>
      </c>
    </row>
    <row r="59" ht="16.5" customHeight="1">
      <c r="A59" s="5" t="s">
        <v>72</v>
      </c>
      <c r="B59" s="6" t="s">
        <v>48</v>
      </c>
      <c r="C59" s="5" t="s">
        <v>73</v>
      </c>
      <c r="D59" s="8">
        <v>1.9296E7</v>
      </c>
      <c r="E59" s="8">
        <v>1.11955E8</v>
      </c>
      <c r="F59" s="8">
        <f t="shared" si="1"/>
        <v>92659000</v>
      </c>
      <c r="G59" s="22">
        <f t="shared" si="2"/>
        <v>5.801979685</v>
      </c>
    </row>
    <row r="60" ht="16.5" customHeight="1">
      <c r="A60" s="5" t="s">
        <v>72</v>
      </c>
      <c r="B60" s="6" t="s">
        <v>49</v>
      </c>
      <c r="C60" s="5" t="s">
        <v>73</v>
      </c>
      <c r="D60" s="8">
        <v>7.23322E7</v>
      </c>
      <c r="E60" s="8">
        <v>1.99803E8</v>
      </c>
      <c r="F60" s="8">
        <f t="shared" si="1"/>
        <v>127470800</v>
      </c>
      <c r="G60" s="22">
        <f t="shared" si="2"/>
        <v>2.762296736</v>
      </c>
    </row>
    <row r="61" ht="16.5" customHeight="1">
      <c r="A61" s="5" t="s">
        <v>72</v>
      </c>
      <c r="B61" s="6" t="s">
        <v>50</v>
      </c>
      <c r="C61" s="5" t="s">
        <v>73</v>
      </c>
      <c r="D61" s="8">
        <v>4.6582E7</v>
      </c>
      <c r="E61" s="8">
        <v>1.73256E8</v>
      </c>
      <c r="F61" s="8">
        <f t="shared" si="1"/>
        <v>126674000</v>
      </c>
      <c r="G61" s="22">
        <f t="shared" si="2"/>
        <v>3.719376583</v>
      </c>
    </row>
    <row r="62" ht="16.5" customHeight="1">
      <c r="A62" s="5" t="s">
        <v>72</v>
      </c>
      <c r="B62" s="6" t="s">
        <v>51</v>
      </c>
      <c r="C62" s="5" t="s">
        <v>73</v>
      </c>
      <c r="D62" s="8">
        <v>2.6402E7</v>
      </c>
      <c r="E62" s="8">
        <v>1.28468E8</v>
      </c>
      <c r="F62" s="8">
        <f t="shared" si="1"/>
        <v>102066000</v>
      </c>
      <c r="G62" s="22">
        <f t="shared" si="2"/>
        <v>4.865843497</v>
      </c>
    </row>
    <row r="63" ht="16.5" customHeight="1">
      <c r="A63" s="5" t="s">
        <v>72</v>
      </c>
      <c r="B63" s="6" t="s">
        <v>55</v>
      </c>
      <c r="C63" s="5" t="s">
        <v>73</v>
      </c>
      <c r="D63" s="8">
        <v>6.5436E7</v>
      </c>
      <c r="E63" s="8">
        <v>1.8453E8</v>
      </c>
      <c r="F63" s="8">
        <f t="shared" si="1"/>
        <v>119094000</v>
      </c>
      <c r="G63" s="22">
        <f t="shared" si="2"/>
        <v>2.820007335</v>
      </c>
    </row>
    <row r="64" ht="16.5" customHeight="1">
      <c r="A64" s="5" t="s">
        <v>72</v>
      </c>
      <c r="B64" s="6" t="s">
        <v>57</v>
      </c>
      <c r="C64" s="5" t="s">
        <v>73</v>
      </c>
      <c r="D64" s="8">
        <v>1.22059E8</v>
      </c>
      <c r="E64" s="8">
        <v>2.18219E8</v>
      </c>
      <c r="F64" s="8">
        <f t="shared" si="1"/>
        <v>96160000</v>
      </c>
      <c r="G64" s="22">
        <f t="shared" si="2"/>
        <v>1.787815728</v>
      </c>
    </row>
    <row r="65" ht="16.5" customHeight="1">
      <c r="A65" s="5" t="s">
        <v>72</v>
      </c>
      <c r="B65" s="6" t="s">
        <v>58</v>
      </c>
      <c r="C65" s="5" t="s">
        <v>73</v>
      </c>
      <c r="D65" s="8">
        <v>1.93882E8</v>
      </c>
      <c r="E65" s="8">
        <v>2.63994E8</v>
      </c>
      <c r="F65" s="8">
        <f t="shared" si="1"/>
        <v>70112000</v>
      </c>
      <c r="G65" s="22">
        <f t="shared" si="2"/>
        <v>1.361622018</v>
      </c>
    </row>
    <row r="66" ht="16.5" customHeight="1">
      <c r="A66" s="5" t="s">
        <v>72</v>
      </c>
      <c r="B66" s="6" t="s">
        <v>59</v>
      </c>
      <c r="C66" s="5" t="s">
        <v>73</v>
      </c>
      <c r="D66" s="8">
        <v>2.5922E8</v>
      </c>
      <c r="E66" s="8">
        <v>5.82611E8</v>
      </c>
      <c r="F66" s="8">
        <f t="shared" si="1"/>
        <v>323391000</v>
      </c>
      <c r="G66" s="22">
        <f t="shared" si="2"/>
        <v>2.247554201</v>
      </c>
    </row>
    <row r="67" ht="16.5" customHeight="1">
      <c r="A67" s="5" t="s">
        <v>72</v>
      </c>
      <c r="B67" s="6" t="s">
        <v>60</v>
      </c>
      <c r="C67" s="5" t="s">
        <v>73</v>
      </c>
      <c r="D67" s="8">
        <v>2.7E8</v>
      </c>
      <c r="E67" s="8">
        <v>2.285E8</v>
      </c>
      <c r="F67" s="8">
        <f t="shared" si="1"/>
        <v>-41500000</v>
      </c>
      <c r="G67" s="22">
        <f t="shared" si="2"/>
        <v>0.8462962963</v>
      </c>
    </row>
    <row r="68" ht="16.5" customHeight="1">
      <c r="A68" s="5" t="s">
        <v>72</v>
      </c>
      <c r="B68" s="6" t="s">
        <v>61</v>
      </c>
      <c r="C68" s="5" t="s">
        <v>73</v>
      </c>
      <c r="D68" s="8">
        <v>5.184E8</v>
      </c>
      <c r="E68" s="8">
        <v>2.334E8</v>
      </c>
      <c r="F68" s="8">
        <f t="shared" si="1"/>
        <v>-285000000</v>
      </c>
      <c r="G68" s="22">
        <f t="shared" si="2"/>
        <v>0.4502314815</v>
      </c>
    </row>
    <row r="69" ht="16.5" customHeight="1">
      <c r="A69" s="5" t="s">
        <v>72</v>
      </c>
      <c r="B69" s="6" t="s">
        <v>62</v>
      </c>
      <c r="C69" s="5" t="s">
        <v>73</v>
      </c>
      <c r="D69" s="8">
        <v>3.212E8</v>
      </c>
      <c r="E69" s="8">
        <v>3.212E8</v>
      </c>
      <c r="F69" s="8">
        <f t="shared" si="1"/>
        <v>0</v>
      </c>
      <c r="G69" s="22">
        <f t="shared" si="2"/>
        <v>1</v>
      </c>
    </row>
    <row r="70" ht="16.5" customHeight="1">
      <c r="A70" s="5" t="s">
        <v>72</v>
      </c>
      <c r="B70" s="6" t="s">
        <v>63</v>
      </c>
      <c r="C70" s="5" t="s">
        <v>73</v>
      </c>
      <c r="D70" s="8">
        <v>2.514E8</v>
      </c>
      <c r="E70" s="8">
        <v>6.629E8</v>
      </c>
      <c r="F70" s="8">
        <f t="shared" si="1"/>
        <v>411500000</v>
      </c>
      <c r="G70" s="22">
        <f t="shared" si="2"/>
        <v>2.636833731</v>
      </c>
    </row>
    <row r="71" ht="16.5" customHeight="1">
      <c r="A71" s="5" t="s">
        <v>72</v>
      </c>
      <c r="B71" s="6" t="s">
        <v>64</v>
      </c>
      <c r="C71" s="5" t="s">
        <v>73</v>
      </c>
      <c r="D71" s="8">
        <v>5.789E8</v>
      </c>
      <c r="E71" s="8">
        <v>1.0382E9</v>
      </c>
      <c r="F71" s="8">
        <f t="shared" si="1"/>
        <v>459300000</v>
      </c>
      <c r="G71" s="22">
        <f t="shared" si="2"/>
        <v>1.793401278</v>
      </c>
    </row>
    <row r="72" ht="16.5" customHeight="1">
      <c r="A72" s="5" t="s">
        <v>72</v>
      </c>
      <c r="B72" s="6" t="s">
        <v>65</v>
      </c>
      <c r="C72" s="5" t="s">
        <v>73</v>
      </c>
      <c r="D72" s="8">
        <v>4.832E8</v>
      </c>
      <c r="E72" s="8">
        <v>8.739E8</v>
      </c>
      <c r="F72" s="8">
        <f t="shared" si="1"/>
        <v>390700000</v>
      </c>
      <c r="G72" s="22">
        <f t="shared" si="2"/>
        <v>1.808567881</v>
      </c>
    </row>
    <row r="73" ht="16.5" customHeight="1">
      <c r="A73" s="5" t="s">
        <v>72</v>
      </c>
      <c r="B73" s="6" t="s">
        <v>66</v>
      </c>
      <c r="C73" s="5" t="s">
        <v>73</v>
      </c>
      <c r="D73" s="8">
        <v>3.067E8</v>
      </c>
      <c r="E73" s="8">
        <v>7.598E8</v>
      </c>
      <c r="F73" s="8">
        <f t="shared" si="1"/>
        <v>453100000</v>
      </c>
      <c r="G73" s="22">
        <f t="shared" si="2"/>
        <v>2.47733942</v>
      </c>
    </row>
    <row r="74" ht="16.5" customHeight="1">
      <c r="A74" s="5" t="s">
        <v>72</v>
      </c>
      <c r="B74" s="6" t="s">
        <v>67</v>
      </c>
      <c r="C74" s="5" t="s">
        <v>73</v>
      </c>
      <c r="D74" s="8">
        <v>5.036E8</v>
      </c>
      <c r="E74" s="8">
        <v>1.2232E9</v>
      </c>
      <c r="F74" s="8">
        <f t="shared" si="1"/>
        <v>719600000</v>
      </c>
      <c r="G74" s="22">
        <f t="shared" si="2"/>
        <v>2.428911835</v>
      </c>
    </row>
    <row r="75" ht="16.5" customHeight="1">
      <c r="A75" s="5" t="s">
        <v>72</v>
      </c>
      <c r="B75" s="6" t="s">
        <v>68</v>
      </c>
      <c r="C75" s="5" t="s">
        <v>73</v>
      </c>
      <c r="D75" s="8">
        <v>3.83E8</v>
      </c>
      <c r="E75" s="8">
        <v>9.286E8</v>
      </c>
      <c r="F75" s="8">
        <f t="shared" si="1"/>
        <v>545600000</v>
      </c>
      <c r="G75" s="22">
        <f t="shared" si="2"/>
        <v>2.424543081</v>
      </c>
    </row>
    <row r="76" ht="16.5" customHeight="1">
      <c r="A76" s="5" t="s">
        <v>72</v>
      </c>
      <c r="B76" s="6" t="s">
        <v>69</v>
      </c>
      <c r="C76" s="5" t="s">
        <v>73</v>
      </c>
      <c r="D76" s="8">
        <v>4.483E8</v>
      </c>
      <c r="E76" s="8">
        <v>7.741E8</v>
      </c>
      <c r="F76" s="8">
        <f t="shared" si="1"/>
        <v>325800000</v>
      </c>
      <c r="G76" s="22">
        <f t="shared" si="2"/>
        <v>1.726745483</v>
      </c>
    </row>
    <row r="77" ht="16.5" customHeight="1">
      <c r="A77" s="5" t="s">
        <v>74</v>
      </c>
      <c r="B77" s="6" t="s">
        <v>12</v>
      </c>
      <c r="C77" s="5" t="s">
        <v>75</v>
      </c>
      <c r="D77" s="8">
        <v>2.79376E8</v>
      </c>
      <c r="E77" s="8">
        <v>4.2807E8</v>
      </c>
      <c r="F77" s="8">
        <f t="shared" si="1"/>
        <v>148694000</v>
      </c>
      <c r="G77" s="22">
        <f t="shared" si="2"/>
        <v>1.532236126</v>
      </c>
    </row>
    <row r="78" ht="16.5" customHeight="1">
      <c r="A78" s="5" t="s">
        <v>74</v>
      </c>
      <c r="B78" s="6" t="s">
        <v>26</v>
      </c>
      <c r="C78" s="5" t="s">
        <v>75</v>
      </c>
      <c r="D78" s="8">
        <v>1.03629E8</v>
      </c>
      <c r="E78" s="8">
        <v>2.53237E8</v>
      </c>
      <c r="F78" s="8">
        <f t="shared" si="1"/>
        <v>149608000</v>
      </c>
      <c r="G78" s="22">
        <f t="shared" si="2"/>
        <v>2.443688543</v>
      </c>
    </row>
    <row r="79" ht="16.5" customHeight="1">
      <c r="A79" s="5" t="s">
        <v>74</v>
      </c>
      <c r="B79" s="6" t="s">
        <v>24</v>
      </c>
      <c r="C79" s="5" t="s">
        <v>75</v>
      </c>
      <c r="D79" s="8">
        <v>1.336E8</v>
      </c>
      <c r="E79" s="8">
        <v>3.21297E8</v>
      </c>
      <c r="F79" s="8">
        <f t="shared" si="1"/>
        <v>187697000</v>
      </c>
      <c r="G79" s="22">
        <f t="shared" si="2"/>
        <v>2.404917665</v>
      </c>
    </row>
    <row r="80" ht="16.5" customHeight="1">
      <c r="A80" s="5" t="s">
        <v>74</v>
      </c>
      <c r="B80" s="6" t="s">
        <v>34</v>
      </c>
      <c r="C80" s="5" t="s">
        <v>75</v>
      </c>
      <c r="D80" s="8">
        <v>1.66303E8</v>
      </c>
      <c r="E80" s="8">
        <v>4.22594E8</v>
      </c>
      <c r="F80" s="8">
        <f t="shared" si="1"/>
        <v>256291000</v>
      </c>
      <c r="G80" s="22">
        <f t="shared" si="2"/>
        <v>2.541108699</v>
      </c>
    </row>
    <row r="81" ht="16.5" customHeight="1">
      <c r="A81" s="5" t="s">
        <v>74</v>
      </c>
      <c r="B81" s="6" t="s">
        <v>37</v>
      </c>
      <c r="C81" s="5" t="s">
        <v>75</v>
      </c>
      <c r="D81" s="8">
        <v>1.8809E8</v>
      </c>
      <c r="E81" s="8">
        <v>4.24796E8</v>
      </c>
      <c r="F81" s="8">
        <f t="shared" si="1"/>
        <v>236706000</v>
      </c>
      <c r="G81" s="22">
        <f t="shared" si="2"/>
        <v>2.258472008</v>
      </c>
    </row>
    <row r="82" ht="16.5" customHeight="1">
      <c r="A82" s="5" t="s">
        <v>74</v>
      </c>
      <c r="B82" s="6">
        <v>2005.0</v>
      </c>
      <c r="C82" s="5" t="s">
        <v>75</v>
      </c>
      <c r="D82" s="8">
        <v>3.25671E8</v>
      </c>
      <c r="E82" s="8">
        <v>5.55478E8</v>
      </c>
      <c r="F82" s="8">
        <f t="shared" si="1"/>
        <v>229807000</v>
      </c>
      <c r="G82" s="22">
        <f t="shared" si="2"/>
        <v>1.705641583</v>
      </c>
    </row>
    <row r="83" ht="16.5" customHeight="1">
      <c r="A83" s="5" t="s">
        <v>74</v>
      </c>
      <c r="B83" s="6">
        <v>2006.0</v>
      </c>
      <c r="C83" s="5" t="s">
        <v>75</v>
      </c>
      <c r="D83" s="8">
        <v>4.288098E8</v>
      </c>
      <c r="E83" s="8">
        <v>9.86579E8</v>
      </c>
      <c r="F83" s="8">
        <f t="shared" si="1"/>
        <v>557769200</v>
      </c>
      <c r="G83" s="22">
        <f t="shared" si="2"/>
        <v>2.300737996</v>
      </c>
    </row>
    <row r="84" ht="16.5" customHeight="1">
      <c r="A84" s="5" t="s">
        <v>74</v>
      </c>
      <c r="B84" s="6">
        <v>2007.0</v>
      </c>
      <c r="C84" s="5" t="s">
        <v>75</v>
      </c>
      <c r="D84" s="8">
        <v>3.75484E8</v>
      </c>
      <c r="E84" s="8">
        <v>9.78239E8</v>
      </c>
      <c r="F84" s="8">
        <f t="shared" si="1"/>
        <v>602755000</v>
      </c>
      <c r="G84" s="22">
        <f t="shared" si="2"/>
        <v>2.605274792</v>
      </c>
    </row>
    <row r="85" ht="16.5" customHeight="1">
      <c r="A85" s="5" t="s">
        <v>74</v>
      </c>
      <c r="B85" s="6">
        <v>2008.0</v>
      </c>
      <c r="C85" s="5" t="s">
        <v>75</v>
      </c>
      <c r="D85" s="8">
        <v>6.29014E8</v>
      </c>
      <c r="E85" s="8">
        <v>9.98178E8</v>
      </c>
      <c r="F85" s="8">
        <f t="shared" si="1"/>
        <v>369164000</v>
      </c>
      <c r="G85" s="22">
        <f t="shared" si="2"/>
        <v>1.586893138</v>
      </c>
    </row>
    <row r="86" ht="16.5" customHeight="1">
      <c r="A86" s="5" t="s">
        <v>74</v>
      </c>
      <c r="B86" s="6">
        <v>2009.0</v>
      </c>
      <c r="C86" s="5" t="s">
        <v>75</v>
      </c>
      <c r="D86" s="8">
        <v>5.87E8</v>
      </c>
      <c r="E86" s="8">
        <v>8.51E8</v>
      </c>
      <c r="F86" s="8">
        <f t="shared" si="1"/>
        <v>264000000</v>
      </c>
      <c r="G86" s="22">
        <f t="shared" si="2"/>
        <v>1.449744463</v>
      </c>
    </row>
    <row r="87" ht="16.5" customHeight="1">
      <c r="A87" s="5" t="s">
        <v>74</v>
      </c>
      <c r="B87" s="6">
        <v>2010.0</v>
      </c>
      <c r="C87" s="5" t="s">
        <v>75</v>
      </c>
      <c r="D87" s="8">
        <v>6.8E8</v>
      </c>
      <c r="E87" s="8">
        <v>1.074E9</v>
      </c>
      <c r="F87" s="8">
        <f t="shared" si="1"/>
        <v>394000000</v>
      </c>
      <c r="G87" s="22">
        <f t="shared" si="2"/>
        <v>1.579411765</v>
      </c>
    </row>
    <row r="88" ht="16.5" customHeight="1">
      <c r="A88" s="5" t="s">
        <v>74</v>
      </c>
      <c r="B88" s="6">
        <v>2011.0</v>
      </c>
      <c r="C88" s="5" t="s">
        <v>75</v>
      </c>
      <c r="D88" s="8">
        <v>7.35E8</v>
      </c>
      <c r="E88" s="8">
        <v>1.401E9</v>
      </c>
      <c r="F88" s="8">
        <f t="shared" si="1"/>
        <v>666000000</v>
      </c>
      <c r="G88" s="22">
        <f t="shared" si="2"/>
        <v>1.906122449</v>
      </c>
    </row>
    <row r="89" ht="16.5" customHeight="1">
      <c r="A89" s="5" t="s">
        <v>74</v>
      </c>
      <c r="B89" s="6">
        <v>2012.0</v>
      </c>
      <c r="C89" s="5" t="s">
        <v>75</v>
      </c>
      <c r="D89" s="8">
        <v>9.71E8</v>
      </c>
      <c r="E89" s="8">
        <v>1.822E9</v>
      </c>
      <c r="F89" s="8">
        <f t="shared" si="1"/>
        <v>851000000</v>
      </c>
      <c r="G89" s="22">
        <f t="shared" si="2"/>
        <v>1.876416066</v>
      </c>
    </row>
    <row r="90" ht="16.5" customHeight="1">
      <c r="A90" s="5" t="s">
        <v>74</v>
      </c>
      <c r="B90" s="6">
        <v>2013.0</v>
      </c>
      <c r="C90" s="5" t="s">
        <v>75</v>
      </c>
      <c r="D90" s="8">
        <v>8.43E8</v>
      </c>
      <c r="E90" s="8">
        <v>1.642E9</v>
      </c>
      <c r="F90" s="8">
        <f t="shared" si="1"/>
        <v>799000000</v>
      </c>
      <c r="G90" s="22">
        <f t="shared" si="2"/>
        <v>1.947805457</v>
      </c>
    </row>
    <row r="91" ht="16.5" customHeight="1">
      <c r="A91" s="5" t="s">
        <v>74</v>
      </c>
      <c r="B91" s="6">
        <v>2014.0</v>
      </c>
      <c r="C91" s="5" t="s">
        <v>75</v>
      </c>
      <c r="D91" s="8">
        <v>8.21E8</v>
      </c>
      <c r="E91" s="8">
        <v>2.227E9</v>
      </c>
      <c r="F91" s="8">
        <f t="shared" si="1"/>
        <v>1406000000</v>
      </c>
      <c r="G91" s="22">
        <f t="shared" si="2"/>
        <v>2.712545676</v>
      </c>
    </row>
    <row r="92" ht="16.5" customHeight="1">
      <c r="A92" s="5" t="s">
        <v>74</v>
      </c>
      <c r="B92" s="6">
        <v>2015.0</v>
      </c>
      <c r="C92" s="5" t="s">
        <v>75</v>
      </c>
      <c r="D92" s="8">
        <v>9.03E8</v>
      </c>
      <c r="E92" s="8">
        <v>1.833E9</v>
      </c>
      <c r="F92" s="8">
        <f t="shared" si="1"/>
        <v>930000000</v>
      </c>
      <c r="G92" s="22">
        <f t="shared" si="2"/>
        <v>2.029900332</v>
      </c>
    </row>
    <row r="93" ht="16.5" customHeight="1">
      <c r="A93" s="5" t="s">
        <v>74</v>
      </c>
      <c r="B93" s="6">
        <v>2016.0</v>
      </c>
      <c r="C93" s="5" t="s">
        <v>75</v>
      </c>
      <c r="D93" s="8">
        <v>3.16E8</v>
      </c>
      <c r="E93" s="8">
        <v>1.404E9</v>
      </c>
      <c r="F93" s="8">
        <f t="shared" si="1"/>
        <v>1088000000</v>
      </c>
      <c r="G93" s="22">
        <f t="shared" si="2"/>
        <v>4.443037975</v>
      </c>
    </row>
    <row r="94" ht="16.5" customHeight="1">
      <c r="A94" s="5" t="s">
        <v>74</v>
      </c>
      <c r="B94" s="6">
        <v>2017.0</v>
      </c>
      <c r="C94" s="5" t="s">
        <v>75</v>
      </c>
      <c r="D94" s="8">
        <v>8.23E8</v>
      </c>
      <c r="E94" s="8">
        <v>1.289E9</v>
      </c>
      <c r="F94" s="8">
        <f t="shared" si="1"/>
        <v>466000000</v>
      </c>
      <c r="G94" s="22">
        <f t="shared" si="2"/>
        <v>1.566221142</v>
      </c>
    </row>
    <row r="95" ht="16.5" customHeight="1">
      <c r="A95" s="5" t="s">
        <v>74</v>
      </c>
      <c r="B95" s="6">
        <v>2018.0</v>
      </c>
      <c r="C95" s="5" t="s">
        <v>75</v>
      </c>
      <c r="D95" s="8">
        <v>6.38E8</v>
      </c>
      <c r="E95" s="8">
        <v>1.293E9</v>
      </c>
      <c r="F95" s="8">
        <f t="shared" si="1"/>
        <v>655000000</v>
      </c>
      <c r="G95" s="22">
        <f t="shared" si="2"/>
        <v>2.026645768</v>
      </c>
    </row>
    <row r="96" ht="16.5" customHeight="1">
      <c r="A96" s="5" t="s">
        <v>74</v>
      </c>
      <c r="B96" s="6">
        <v>2019.0</v>
      </c>
      <c r="C96" s="5" t="s">
        <v>75</v>
      </c>
      <c r="D96" s="8">
        <v>1.17E9</v>
      </c>
      <c r="E96" s="8">
        <v>1.325E9</v>
      </c>
      <c r="F96" s="8">
        <f t="shared" si="1"/>
        <v>155000000</v>
      </c>
      <c r="G96" s="22">
        <f t="shared" si="2"/>
        <v>1.132478632</v>
      </c>
    </row>
    <row r="97" ht="16.5" customHeight="1">
      <c r="A97" s="5" t="s">
        <v>74</v>
      </c>
      <c r="B97" s="6">
        <v>2020.0</v>
      </c>
      <c r="C97" s="5" t="s">
        <v>75</v>
      </c>
      <c r="D97" s="8">
        <v>8.46E8</v>
      </c>
      <c r="E97" s="8">
        <v>9.51E8</v>
      </c>
      <c r="F97" s="8">
        <f t="shared" si="1"/>
        <v>105000000</v>
      </c>
      <c r="G97" s="22">
        <f t="shared" si="2"/>
        <v>1.124113475</v>
      </c>
    </row>
    <row r="98" ht="16.5" customHeight="1">
      <c r="A98" s="5" t="s">
        <v>74</v>
      </c>
      <c r="B98" s="6">
        <v>2021.0</v>
      </c>
      <c r="C98" s="5" t="s">
        <v>75</v>
      </c>
      <c r="D98" s="8">
        <v>4.37E8</v>
      </c>
      <c r="E98" s="8">
        <v>9.64E8</v>
      </c>
      <c r="F98" s="8">
        <f t="shared" si="1"/>
        <v>527000000</v>
      </c>
      <c r="G98" s="22">
        <f t="shared" si="2"/>
        <v>2.205949657</v>
      </c>
    </row>
    <row r="99" ht="16.5" customHeight="1">
      <c r="A99" s="5" t="s">
        <v>74</v>
      </c>
      <c r="B99" s="6">
        <v>2022.0</v>
      </c>
      <c r="C99" s="5" t="s">
        <v>75</v>
      </c>
      <c r="D99" s="8">
        <v>7.82E8</v>
      </c>
      <c r="E99" s="8">
        <v>5.31E8</v>
      </c>
      <c r="F99" s="8">
        <f t="shared" si="1"/>
        <v>-251000000</v>
      </c>
      <c r="G99" s="22">
        <f t="shared" si="2"/>
        <v>0.679028133</v>
      </c>
    </row>
    <row r="100" ht="16.5" customHeight="1">
      <c r="A100" s="5" t="s">
        <v>74</v>
      </c>
      <c r="B100" s="6">
        <v>2023.0</v>
      </c>
      <c r="C100" s="5" t="s">
        <v>75</v>
      </c>
      <c r="D100" s="8">
        <v>1.146E9</v>
      </c>
      <c r="E100" s="8">
        <v>-6.33E8</v>
      </c>
      <c r="F100" s="8">
        <f t="shared" si="1"/>
        <v>-1779000000</v>
      </c>
      <c r="G100" s="22">
        <f t="shared" si="2"/>
        <v>-0.5523560209</v>
      </c>
    </row>
    <row r="101" ht="16.5" customHeight="1">
      <c r="A101" s="5" t="s">
        <v>74</v>
      </c>
      <c r="B101" s="6">
        <v>2024.0</v>
      </c>
      <c r="C101" s="5" t="s">
        <v>75</v>
      </c>
      <c r="D101" s="8">
        <v>1.062E9</v>
      </c>
      <c r="E101" s="8">
        <v>1.114E9</v>
      </c>
      <c r="F101" s="8">
        <f t="shared" si="1"/>
        <v>52000000</v>
      </c>
      <c r="G101" s="22">
        <f t="shared" si="2"/>
        <v>1.048964218</v>
      </c>
    </row>
    <row r="102" ht="16.5" customHeight="1">
      <c r="G102" s="22"/>
    </row>
    <row r="103" ht="16.5" customHeight="1">
      <c r="G103" s="22"/>
    </row>
    <row r="104" ht="16.5" customHeight="1">
      <c r="G104" s="22"/>
    </row>
    <row r="105" ht="16.5" customHeight="1">
      <c r="G105" s="22"/>
    </row>
    <row r="106" ht="16.5" customHeight="1">
      <c r="G106" s="22"/>
    </row>
    <row r="107" ht="16.5" customHeight="1">
      <c r="G107" s="22"/>
    </row>
    <row r="108" ht="16.5" customHeight="1">
      <c r="G108" s="22"/>
    </row>
    <row r="109" ht="16.5" customHeight="1">
      <c r="G109" s="22"/>
    </row>
    <row r="110" ht="16.5" customHeight="1">
      <c r="G110" s="22"/>
    </row>
    <row r="111" ht="16.5" customHeight="1">
      <c r="G111" s="22"/>
    </row>
    <row r="112" ht="16.5" customHeight="1">
      <c r="G112" s="22"/>
    </row>
    <row r="113" ht="16.5" customHeight="1">
      <c r="G113" s="22"/>
    </row>
    <row r="114" ht="16.5" customHeight="1">
      <c r="G114" s="22"/>
    </row>
    <row r="115" ht="16.5" customHeight="1">
      <c r="G115" s="22"/>
    </row>
    <row r="116" ht="16.5" customHeight="1">
      <c r="G116" s="22"/>
    </row>
    <row r="117" ht="16.5" customHeight="1">
      <c r="G117" s="22"/>
    </row>
    <row r="118" ht="16.5" customHeight="1">
      <c r="G118" s="22"/>
    </row>
    <row r="119" ht="16.5" customHeight="1">
      <c r="G119" s="22"/>
    </row>
    <row r="120" ht="16.5" customHeight="1">
      <c r="G120" s="22"/>
    </row>
    <row r="121" ht="16.5" customHeight="1">
      <c r="G121" s="22"/>
    </row>
    <row r="122" ht="16.5" customHeight="1">
      <c r="G122" s="22"/>
    </row>
    <row r="123" ht="16.5" customHeight="1">
      <c r="G123" s="22"/>
    </row>
    <row r="124" ht="16.5" customHeight="1">
      <c r="G124" s="22"/>
    </row>
    <row r="125" ht="16.5" customHeight="1">
      <c r="G125" s="22"/>
    </row>
    <row r="126" ht="16.5" customHeight="1">
      <c r="G126" s="22"/>
    </row>
    <row r="127" ht="16.5" customHeight="1">
      <c r="G127" s="22"/>
    </row>
    <row r="128" ht="16.5" customHeight="1">
      <c r="G128" s="22"/>
    </row>
    <row r="129" ht="16.5" customHeight="1">
      <c r="G129" s="22"/>
    </row>
    <row r="130" ht="16.5" customHeight="1">
      <c r="G130" s="22"/>
    </row>
    <row r="131" ht="16.5" customHeight="1">
      <c r="G131" s="22"/>
    </row>
    <row r="132" ht="16.5" customHeight="1">
      <c r="G132" s="22"/>
    </row>
    <row r="133" ht="16.5" customHeight="1">
      <c r="G133" s="22"/>
    </row>
    <row r="134" ht="16.5" customHeight="1">
      <c r="G134" s="22"/>
    </row>
    <row r="135" ht="16.5" customHeight="1">
      <c r="G135" s="22"/>
    </row>
    <row r="136" ht="16.5" customHeight="1">
      <c r="G136" s="22"/>
    </row>
    <row r="137" ht="16.5" customHeight="1">
      <c r="G137" s="22"/>
    </row>
    <row r="138" ht="16.5" customHeight="1">
      <c r="G138" s="22"/>
    </row>
    <row r="139" ht="16.5" customHeight="1">
      <c r="G139" s="22"/>
    </row>
    <row r="140" ht="16.5" customHeight="1">
      <c r="G140" s="22"/>
    </row>
    <row r="141" ht="16.5" customHeight="1">
      <c r="G141" s="22"/>
    </row>
    <row r="142" ht="16.5" customHeight="1">
      <c r="G142" s="22"/>
    </row>
    <row r="143" ht="16.5" customHeight="1">
      <c r="G143" s="22"/>
    </row>
    <row r="144" ht="16.5" customHeight="1">
      <c r="G144" s="22"/>
    </row>
    <row r="145" ht="16.5" customHeight="1">
      <c r="G145" s="22"/>
    </row>
    <row r="146" ht="16.5" customHeight="1">
      <c r="G146" s="22"/>
    </row>
    <row r="147" ht="16.5" customHeight="1">
      <c r="G147" s="22"/>
    </row>
    <row r="148" ht="16.5" customHeight="1">
      <c r="G148" s="22"/>
    </row>
    <row r="149" ht="16.5" customHeight="1">
      <c r="G149" s="22"/>
    </row>
    <row r="150" ht="16.5" customHeight="1">
      <c r="G150" s="22"/>
    </row>
    <row r="151" ht="16.5" customHeight="1">
      <c r="G151" s="22"/>
    </row>
    <row r="152" ht="16.5" customHeight="1">
      <c r="G152" s="22"/>
    </row>
    <row r="153" ht="16.5" customHeight="1">
      <c r="G153" s="22"/>
    </row>
    <row r="154" ht="16.5" customHeight="1">
      <c r="G154" s="22"/>
    </row>
    <row r="155" ht="16.5" customHeight="1">
      <c r="G155" s="22"/>
    </row>
    <row r="156" ht="16.5" customHeight="1">
      <c r="G156" s="22"/>
    </row>
    <row r="157" ht="16.5" customHeight="1">
      <c r="G157" s="22"/>
    </row>
    <row r="158" ht="16.5" customHeight="1">
      <c r="G158" s="22"/>
    </row>
    <row r="159" ht="16.5" customHeight="1">
      <c r="G159" s="22"/>
    </row>
    <row r="160" ht="16.5" customHeight="1">
      <c r="G160" s="22"/>
    </row>
    <row r="161" ht="16.5" customHeight="1">
      <c r="G161" s="22"/>
    </row>
    <row r="162" ht="16.5" customHeight="1">
      <c r="G162" s="22"/>
    </row>
    <row r="163" ht="16.5" customHeight="1">
      <c r="G163" s="22"/>
    </row>
    <row r="164" ht="16.5" customHeight="1">
      <c r="G164" s="22"/>
    </row>
    <row r="165" ht="16.5" customHeight="1">
      <c r="G165" s="22"/>
    </row>
    <row r="166" ht="16.5" customHeight="1">
      <c r="G166" s="22"/>
    </row>
    <row r="167" ht="16.5" customHeight="1">
      <c r="G167" s="22"/>
    </row>
    <row r="168" ht="16.5" customHeight="1">
      <c r="G168" s="22"/>
    </row>
    <row r="169" ht="16.5" customHeight="1">
      <c r="G169" s="22"/>
    </row>
    <row r="170" ht="16.5" customHeight="1">
      <c r="G170" s="22"/>
    </row>
    <row r="171" ht="16.5" customHeight="1">
      <c r="G171" s="22"/>
    </row>
    <row r="172" ht="16.5" customHeight="1">
      <c r="G172" s="22"/>
    </row>
    <row r="173" ht="16.5" customHeight="1">
      <c r="G173" s="22"/>
    </row>
    <row r="174" ht="16.5" customHeight="1">
      <c r="G174" s="22"/>
    </row>
    <row r="175" ht="16.5" customHeight="1">
      <c r="G175" s="22"/>
    </row>
    <row r="176" ht="16.5" customHeight="1">
      <c r="G176" s="22"/>
    </row>
    <row r="177" ht="16.5" customHeight="1">
      <c r="G177" s="22"/>
    </row>
    <row r="178" ht="16.5" customHeight="1">
      <c r="G178" s="22"/>
    </row>
    <row r="179" ht="16.5" customHeight="1">
      <c r="G179" s="22"/>
    </row>
    <row r="180" ht="16.5" customHeight="1">
      <c r="G180" s="22"/>
    </row>
    <row r="181" ht="16.5" customHeight="1">
      <c r="G181" s="22"/>
    </row>
    <row r="182" ht="16.5" customHeight="1">
      <c r="G182" s="22"/>
    </row>
    <row r="183" ht="16.5" customHeight="1">
      <c r="G183" s="22"/>
    </row>
    <row r="184" ht="16.5" customHeight="1">
      <c r="G184" s="22"/>
    </row>
    <row r="185" ht="16.5" customHeight="1">
      <c r="G185" s="22"/>
    </row>
    <row r="186" ht="16.5" customHeight="1">
      <c r="G186" s="22"/>
    </row>
    <row r="187" ht="16.5" customHeight="1">
      <c r="G187" s="22"/>
    </row>
    <row r="188" ht="16.5" customHeight="1">
      <c r="G188" s="22"/>
    </row>
    <row r="189" ht="16.5" customHeight="1">
      <c r="G189" s="22"/>
    </row>
    <row r="190" ht="16.5" customHeight="1">
      <c r="G190" s="22"/>
    </row>
    <row r="191" ht="16.5" customHeight="1">
      <c r="G191" s="22"/>
    </row>
    <row r="192" ht="16.5" customHeight="1">
      <c r="G192" s="22"/>
    </row>
    <row r="193" ht="16.5" customHeight="1">
      <c r="G193" s="22"/>
    </row>
    <row r="194" ht="16.5" customHeight="1">
      <c r="G194" s="22"/>
    </row>
    <row r="195" ht="16.5" customHeight="1">
      <c r="G195" s="22"/>
    </row>
    <row r="196" ht="16.5" customHeight="1">
      <c r="G196" s="22"/>
    </row>
    <row r="197" ht="16.5" customHeight="1">
      <c r="G197" s="22"/>
    </row>
    <row r="198" ht="16.5" customHeight="1">
      <c r="G198" s="22"/>
    </row>
    <row r="199" ht="16.5" customHeight="1">
      <c r="G199" s="22"/>
    </row>
    <row r="200" ht="16.5" customHeight="1">
      <c r="G200" s="22"/>
    </row>
    <row r="201" ht="16.5" customHeight="1">
      <c r="G201" s="22"/>
    </row>
    <row r="202" ht="16.5" customHeight="1">
      <c r="G202" s="22"/>
    </row>
    <row r="203" ht="16.5" customHeight="1">
      <c r="G203" s="22"/>
    </row>
    <row r="204" ht="16.5" customHeight="1">
      <c r="G204" s="22"/>
    </row>
    <row r="205" ht="16.5" customHeight="1">
      <c r="G205" s="22"/>
    </row>
    <row r="206" ht="16.5" customHeight="1">
      <c r="G206" s="22"/>
    </row>
    <row r="207" ht="16.5" customHeight="1">
      <c r="G207" s="22"/>
    </row>
    <row r="208" ht="16.5" customHeight="1">
      <c r="G208" s="22"/>
    </row>
    <row r="209" ht="16.5" customHeight="1">
      <c r="G209" s="22"/>
    </row>
    <row r="210" ht="16.5" customHeight="1">
      <c r="G210" s="22"/>
    </row>
    <row r="211" ht="16.5" customHeight="1">
      <c r="G211" s="22"/>
    </row>
    <row r="212" ht="16.5" customHeight="1">
      <c r="G212" s="22"/>
    </row>
    <row r="213" ht="16.5" customHeight="1">
      <c r="G213" s="22"/>
    </row>
    <row r="214" ht="16.5" customHeight="1">
      <c r="G214" s="22"/>
    </row>
    <row r="215" ht="16.5" customHeight="1">
      <c r="G215" s="22"/>
    </row>
    <row r="216" ht="16.5" customHeight="1">
      <c r="G216" s="22"/>
    </row>
    <row r="217" ht="16.5" customHeight="1">
      <c r="G217" s="22"/>
    </row>
    <row r="218" ht="16.5" customHeight="1">
      <c r="G218" s="22"/>
    </row>
    <row r="219" ht="16.5" customHeight="1">
      <c r="G219" s="22"/>
    </row>
    <row r="220" ht="16.5" customHeight="1">
      <c r="G220" s="22"/>
    </row>
    <row r="221" ht="16.5" customHeight="1">
      <c r="G221" s="22"/>
    </row>
    <row r="222" ht="16.5" customHeight="1">
      <c r="G222" s="22"/>
    </row>
    <row r="223" ht="16.5" customHeight="1">
      <c r="G223" s="22"/>
    </row>
    <row r="224" ht="16.5" customHeight="1">
      <c r="G224" s="22"/>
    </row>
    <row r="225" ht="16.5" customHeight="1">
      <c r="G225" s="22"/>
    </row>
    <row r="226" ht="16.5" customHeight="1">
      <c r="G226" s="22"/>
    </row>
    <row r="227" ht="16.5" customHeight="1">
      <c r="G227" s="22"/>
    </row>
    <row r="228" ht="16.5" customHeight="1">
      <c r="G228" s="22"/>
    </row>
    <row r="229" ht="16.5" customHeight="1">
      <c r="G229" s="22"/>
    </row>
    <row r="230" ht="16.5" customHeight="1">
      <c r="G230" s="22"/>
    </row>
    <row r="231" ht="16.5" customHeight="1">
      <c r="G231" s="22"/>
    </row>
    <row r="232" ht="16.5" customHeight="1">
      <c r="G232" s="22"/>
    </row>
    <row r="233" ht="16.5" customHeight="1">
      <c r="G233" s="22"/>
    </row>
    <row r="234" ht="16.5" customHeight="1">
      <c r="G234" s="22"/>
    </row>
    <row r="235" ht="16.5" customHeight="1">
      <c r="G235" s="22"/>
    </row>
    <row r="236" ht="16.5" customHeight="1">
      <c r="G236" s="22"/>
    </row>
    <row r="237" ht="16.5" customHeight="1">
      <c r="G237" s="22"/>
    </row>
    <row r="238" ht="16.5" customHeight="1">
      <c r="G238" s="22"/>
    </row>
    <row r="239" ht="16.5" customHeight="1">
      <c r="G239" s="22"/>
    </row>
    <row r="240" ht="16.5" customHeight="1">
      <c r="G240" s="22"/>
    </row>
    <row r="241" ht="16.5" customHeight="1">
      <c r="G241" s="22"/>
    </row>
    <row r="242" ht="16.5" customHeight="1">
      <c r="G242" s="22"/>
    </row>
    <row r="243" ht="16.5" customHeight="1">
      <c r="G243" s="22"/>
    </row>
    <row r="244" ht="16.5" customHeight="1">
      <c r="G244" s="22"/>
    </row>
    <row r="245" ht="16.5" customHeight="1">
      <c r="G245" s="22"/>
    </row>
    <row r="246" ht="16.5" customHeight="1">
      <c r="G246" s="22"/>
    </row>
    <row r="247" ht="16.5" customHeight="1">
      <c r="G247" s="22"/>
    </row>
    <row r="248" ht="16.5" customHeight="1">
      <c r="G248" s="22"/>
    </row>
    <row r="249" ht="16.5" customHeight="1">
      <c r="G249" s="22"/>
    </row>
    <row r="250" ht="16.5" customHeight="1">
      <c r="G250" s="22"/>
    </row>
    <row r="251" ht="16.5" customHeight="1">
      <c r="G251" s="22"/>
    </row>
    <row r="252" ht="16.5" customHeight="1">
      <c r="G252" s="22"/>
    </row>
    <row r="253" ht="16.5" customHeight="1">
      <c r="G253" s="22"/>
    </row>
    <row r="254" ht="16.5" customHeight="1">
      <c r="G254" s="22"/>
    </row>
    <row r="255" ht="16.5" customHeight="1">
      <c r="G255" s="22"/>
    </row>
    <row r="256" ht="16.5" customHeight="1">
      <c r="G256" s="22"/>
    </row>
    <row r="257" ht="16.5" customHeight="1">
      <c r="G257" s="22"/>
    </row>
    <row r="258" ht="16.5" customHeight="1">
      <c r="G258" s="22"/>
    </row>
    <row r="259" ht="16.5" customHeight="1">
      <c r="G259" s="22"/>
    </row>
    <row r="260" ht="16.5" customHeight="1">
      <c r="G260" s="22"/>
    </row>
    <row r="261" ht="16.5" customHeight="1">
      <c r="G261" s="22"/>
    </row>
    <row r="262" ht="16.5" customHeight="1">
      <c r="G262" s="22"/>
    </row>
    <row r="263" ht="16.5" customHeight="1">
      <c r="G263" s="22"/>
    </row>
    <row r="264" ht="16.5" customHeight="1">
      <c r="G264" s="22"/>
    </row>
    <row r="265" ht="16.5" customHeight="1">
      <c r="G265" s="22"/>
    </row>
    <row r="266" ht="16.5" customHeight="1">
      <c r="G266" s="22"/>
    </row>
    <row r="267" ht="16.5" customHeight="1">
      <c r="G267" s="22"/>
    </row>
    <row r="268" ht="16.5" customHeight="1">
      <c r="G268" s="22"/>
    </row>
    <row r="269" ht="16.5" customHeight="1">
      <c r="G269" s="22"/>
    </row>
    <row r="270" ht="16.5" customHeight="1">
      <c r="G270" s="22"/>
    </row>
    <row r="271" ht="16.5" customHeight="1">
      <c r="G271" s="22"/>
    </row>
    <row r="272" ht="16.5" customHeight="1">
      <c r="G272" s="22"/>
    </row>
    <row r="273" ht="16.5" customHeight="1">
      <c r="G273" s="22"/>
    </row>
    <row r="274" ht="16.5" customHeight="1">
      <c r="G274" s="22"/>
    </row>
    <row r="275" ht="16.5" customHeight="1">
      <c r="G275" s="22"/>
    </row>
    <row r="276" ht="16.5" customHeight="1">
      <c r="G276" s="22"/>
    </row>
    <row r="277" ht="16.5" customHeight="1">
      <c r="G277" s="22"/>
    </row>
    <row r="278" ht="16.5" customHeight="1">
      <c r="G278" s="22"/>
    </row>
    <row r="279" ht="16.5" customHeight="1">
      <c r="G279" s="22"/>
    </row>
    <row r="280" ht="16.5" customHeight="1">
      <c r="G280" s="22"/>
    </row>
    <row r="281" ht="16.5" customHeight="1">
      <c r="G281" s="22"/>
    </row>
    <row r="282" ht="16.5" customHeight="1">
      <c r="G282" s="22"/>
    </row>
    <row r="283" ht="16.5" customHeight="1">
      <c r="G283" s="22"/>
    </row>
    <row r="284" ht="16.5" customHeight="1">
      <c r="G284" s="22"/>
    </row>
    <row r="285" ht="16.5" customHeight="1">
      <c r="G285" s="22"/>
    </row>
    <row r="286" ht="16.5" customHeight="1">
      <c r="G286" s="22"/>
    </row>
    <row r="287" ht="16.5" customHeight="1">
      <c r="G287" s="22"/>
    </row>
    <row r="288" ht="16.5" customHeight="1">
      <c r="G288" s="22"/>
    </row>
    <row r="289" ht="16.5" customHeight="1">
      <c r="G289" s="22"/>
    </row>
    <row r="290" ht="16.5" customHeight="1">
      <c r="G290" s="22"/>
    </row>
    <row r="291" ht="16.5" customHeight="1">
      <c r="G291" s="22"/>
    </row>
    <row r="292" ht="16.5" customHeight="1">
      <c r="G292" s="22"/>
    </row>
    <row r="293" ht="16.5" customHeight="1">
      <c r="G293" s="22"/>
    </row>
    <row r="294" ht="16.5" customHeight="1">
      <c r="G294" s="22"/>
    </row>
    <row r="295" ht="16.5" customHeight="1">
      <c r="G295" s="22"/>
    </row>
    <row r="296" ht="16.5" customHeight="1">
      <c r="G296" s="22"/>
    </row>
    <row r="297" ht="16.5" customHeight="1">
      <c r="G297" s="22"/>
    </row>
    <row r="298" ht="16.5" customHeight="1">
      <c r="G298" s="22"/>
    </row>
    <row r="299" ht="16.5" customHeight="1">
      <c r="G299" s="22"/>
    </row>
    <row r="300" ht="16.5" customHeight="1">
      <c r="G300" s="22"/>
    </row>
    <row r="301" ht="16.5" customHeight="1">
      <c r="G301" s="22"/>
    </row>
    <row r="302" ht="16.5" customHeight="1">
      <c r="G302" s="22"/>
    </row>
    <row r="303" ht="16.5" customHeight="1">
      <c r="G303" s="22"/>
    </row>
    <row r="304" ht="16.5" customHeight="1">
      <c r="G304" s="22"/>
    </row>
    <row r="305" ht="16.5" customHeight="1">
      <c r="G305" s="22"/>
    </row>
    <row r="306" ht="16.5" customHeight="1">
      <c r="G306" s="22"/>
    </row>
    <row r="307" ht="16.5" customHeight="1">
      <c r="G307" s="22"/>
    </row>
    <row r="308" ht="16.5" customHeight="1">
      <c r="G308" s="22"/>
    </row>
    <row r="309" ht="16.5" customHeight="1">
      <c r="G309" s="22"/>
    </row>
    <row r="310" ht="16.5" customHeight="1">
      <c r="G310" s="22"/>
    </row>
    <row r="311" ht="16.5" customHeight="1">
      <c r="G311" s="22"/>
    </row>
    <row r="312" ht="16.5" customHeight="1">
      <c r="G312" s="22"/>
    </row>
    <row r="313" ht="16.5" customHeight="1">
      <c r="G313" s="22"/>
    </row>
    <row r="314" ht="16.5" customHeight="1">
      <c r="G314" s="22"/>
    </row>
    <row r="315" ht="16.5" customHeight="1">
      <c r="G315" s="22"/>
    </row>
    <row r="316" ht="16.5" customHeight="1">
      <c r="G316" s="22"/>
    </row>
    <row r="317" ht="16.5" customHeight="1">
      <c r="G317" s="22"/>
    </row>
    <row r="318" ht="16.5" customHeight="1">
      <c r="G318" s="22"/>
    </row>
    <row r="319" ht="16.5" customHeight="1">
      <c r="G319" s="22"/>
    </row>
    <row r="320" ht="16.5" customHeight="1">
      <c r="G320" s="22"/>
    </row>
    <row r="321" ht="16.5" customHeight="1">
      <c r="G321" s="22"/>
    </row>
    <row r="322" ht="16.5" customHeight="1">
      <c r="G322" s="22"/>
    </row>
    <row r="323" ht="16.5" customHeight="1">
      <c r="G323" s="22"/>
    </row>
    <row r="324" ht="16.5" customHeight="1">
      <c r="G324" s="22"/>
    </row>
    <row r="325" ht="16.5" customHeight="1">
      <c r="G325" s="22"/>
    </row>
    <row r="326" ht="16.5" customHeight="1">
      <c r="G326" s="22"/>
    </row>
    <row r="327" ht="16.5" customHeight="1">
      <c r="G327" s="22"/>
    </row>
    <row r="328" ht="16.5" customHeight="1">
      <c r="G328" s="22"/>
    </row>
    <row r="329" ht="16.5" customHeight="1">
      <c r="G329" s="22"/>
    </row>
    <row r="330" ht="16.5" customHeight="1">
      <c r="G330" s="22"/>
    </row>
    <row r="331" ht="16.5" customHeight="1">
      <c r="G331" s="22"/>
    </row>
    <row r="332" ht="16.5" customHeight="1">
      <c r="G332" s="22"/>
    </row>
    <row r="333" ht="16.5" customHeight="1">
      <c r="G333" s="22"/>
    </row>
    <row r="334" ht="16.5" customHeight="1">
      <c r="G334" s="22"/>
    </row>
    <row r="335" ht="16.5" customHeight="1">
      <c r="G335" s="22"/>
    </row>
    <row r="336" ht="16.5" customHeight="1">
      <c r="G336" s="22"/>
    </row>
    <row r="337" ht="16.5" customHeight="1">
      <c r="G337" s="22"/>
    </row>
    <row r="338" ht="16.5" customHeight="1">
      <c r="G338" s="22"/>
    </row>
    <row r="339" ht="16.5" customHeight="1">
      <c r="G339" s="22"/>
    </row>
    <row r="340" ht="16.5" customHeight="1">
      <c r="G340" s="22"/>
    </row>
    <row r="341" ht="16.5" customHeight="1">
      <c r="G341" s="22"/>
    </row>
    <row r="342" ht="16.5" customHeight="1">
      <c r="G342" s="22"/>
    </row>
    <row r="343" ht="16.5" customHeight="1">
      <c r="G343" s="22"/>
    </row>
    <row r="344" ht="16.5" customHeight="1">
      <c r="G344" s="22"/>
    </row>
    <row r="345" ht="16.5" customHeight="1">
      <c r="G345" s="22"/>
    </row>
    <row r="346" ht="16.5" customHeight="1">
      <c r="G346" s="22"/>
    </row>
    <row r="347" ht="16.5" customHeight="1">
      <c r="G347" s="22"/>
    </row>
    <row r="348" ht="16.5" customHeight="1">
      <c r="G348" s="22"/>
    </row>
    <row r="349" ht="16.5" customHeight="1">
      <c r="G349" s="22"/>
    </row>
    <row r="350" ht="16.5" customHeight="1">
      <c r="G350" s="22"/>
    </row>
    <row r="351" ht="16.5" customHeight="1">
      <c r="G351" s="22"/>
    </row>
    <row r="352" ht="16.5" customHeight="1">
      <c r="G352" s="22"/>
    </row>
    <row r="353" ht="16.5" customHeight="1">
      <c r="G353" s="22"/>
    </row>
    <row r="354" ht="16.5" customHeight="1">
      <c r="G354" s="22"/>
    </row>
    <row r="355" ht="16.5" customHeight="1">
      <c r="G355" s="22"/>
    </row>
    <row r="356" ht="16.5" customHeight="1">
      <c r="G356" s="22"/>
    </row>
    <row r="357" ht="16.5" customHeight="1">
      <c r="G357" s="22"/>
    </row>
    <row r="358" ht="16.5" customHeight="1">
      <c r="G358" s="22"/>
    </row>
    <row r="359" ht="16.5" customHeight="1">
      <c r="G359" s="22"/>
    </row>
    <row r="360" ht="16.5" customHeight="1">
      <c r="G360" s="22"/>
    </row>
    <row r="361" ht="16.5" customHeight="1">
      <c r="G361" s="22"/>
    </row>
    <row r="362" ht="16.5" customHeight="1">
      <c r="G362" s="22"/>
    </row>
    <row r="363" ht="16.5" customHeight="1">
      <c r="G363" s="22"/>
    </row>
    <row r="364" ht="16.5" customHeight="1">
      <c r="G364" s="22"/>
    </row>
    <row r="365" ht="16.5" customHeight="1">
      <c r="G365" s="22"/>
    </row>
    <row r="366" ht="16.5" customHeight="1">
      <c r="G366" s="22"/>
    </row>
    <row r="367" ht="16.5" customHeight="1">
      <c r="G367" s="22"/>
    </row>
    <row r="368" ht="16.5" customHeight="1">
      <c r="G368" s="22"/>
    </row>
    <row r="369" ht="16.5" customHeight="1">
      <c r="G369" s="22"/>
    </row>
    <row r="370" ht="16.5" customHeight="1">
      <c r="G370" s="22"/>
    </row>
    <row r="371" ht="16.5" customHeight="1">
      <c r="G371" s="22"/>
    </row>
    <row r="372" ht="16.5" customHeight="1">
      <c r="G372" s="22"/>
    </row>
    <row r="373" ht="16.5" customHeight="1">
      <c r="G373" s="22"/>
    </row>
    <row r="374" ht="16.5" customHeight="1">
      <c r="G374" s="22"/>
    </row>
    <row r="375" ht="16.5" customHeight="1">
      <c r="G375" s="22"/>
    </row>
    <row r="376" ht="16.5" customHeight="1">
      <c r="G376" s="22"/>
    </row>
    <row r="377" ht="16.5" customHeight="1">
      <c r="G377" s="22"/>
    </row>
    <row r="378" ht="16.5" customHeight="1">
      <c r="G378" s="22"/>
    </row>
    <row r="379" ht="16.5" customHeight="1">
      <c r="G379" s="22"/>
    </row>
    <row r="380" ht="16.5" customHeight="1">
      <c r="G380" s="22"/>
    </row>
    <row r="381" ht="16.5" customHeight="1">
      <c r="G381" s="22"/>
    </row>
    <row r="382" ht="16.5" customHeight="1">
      <c r="G382" s="22"/>
    </row>
    <row r="383" ht="16.5" customHeight="1">
      <c r="G383" s="22"/>
    </row>
    <row r="384" ht="16.5" customHeight="1">
      <c r="G384" s="22"/>
    </row>
    <row r="385" ht="16.5" customHeight="1">
      <c r="G385" s="22"/>
    </row>
    <row r="386" ht="16.5" customHeight="1">
      <c r="G386" s="22"/>
    </row>
    <row r="387" ht="16.5" customHeight="1">
      <c r="G387" s="22"/>
    </row>
    <row r="388" ht="16.5" customHeight="1">
      <c r="G388" s="22"/>
    </row>
    <row r="389" ht="16.5" customHeight="1">
      <c r="G389" s="22"/>
    </row>
    <row r="390" ht="16.5" customHeight="1">
      <c r="G390" s="22"/>
    </row>
    <row r="391" ht="16.5" customHeight="1">
      <c r="G391" s="22"/>
    </row>
    <row r="392" ht="16.5" customHeight="1">
      <c r="G392" s="22"/>
    </row>
    <row r="393" ht="16.5" customHeight="1">
      <c r="G393" s="22"/>
    </row>
    <row r="394" ht="16.5" customHeight="1">
      <c r="G394" s="22"/>
    </row>
    <row r="395" ht="16.5" customHeight="1">
      <c r="G395" s="22"/>
    </row>
    <row r="396" ht="16.5" customHeight="1">
      <c r="G396" s="22"/>
    </row>
    <row r="397" ht="16.5" customHeight="1">
      <c r="G397" s="22"/>
    </row>
    <row r="398" ht="16.5" customHeight="1">
      <c r="G398" s="22"/>
    </row>
    <row r="399" ht="16.5" customHeight="1">
      <c r="G399" s="22"/>
    </row>
    <row r="400" ht="16.5" customHeight="1">
      <c r="G400" s="22"/>
    </row>
    <row r="401" ht="16.5" customHeight="1">
      <c r="G401" s="22"/>
    </row>
    <row r="402" ht="16.5" customHeight="1">
      <c r="G402" s="22"/>
    </row>
    <row r="403" ht="16.5" customHeight="1">
      <c r="G403" s="22"/>
    </row>
    <row r="404" ht="16.5" customHeight="1">
      <c r="G404" s="22"/>
    </row>
    <row r="405" ht="16.5" customHeight="1">
      <c r="G405" s="22"/>
    </row>
    <row r="406" ht="16.5" customHeight="1">
      <c r="G406" s="22"/>
    </row>
    <row r="407" ht="16.5" customHeight="1">
      <c r="G407" s="22"/>
    </row>
    <row r="408" ht="16.5" customHeight="1">
      <c r="G408" s="22"/>
    </row>
    <row r="409" ht="16.5" customHeight="1">
      <c r="G409" s="22"/>
    </row>
    <row r="410" ht="16.5" customHeight="1">
      <c r="G410" s="22"/>
    </row>
    <row r="411" ht="16.5" customHeight="1">
      <c r="G411" s="22"/>
    </row>
    <row r="412" ht="16.5" customHeight="1">
      <c r="G412" s="22"/>
    </row>
    <row r="413" ht="16.5" customHeight="1">
      <c r="G413" s="22"/>
    </row>
    <row r="414" ht="16.5" customHeight="1">
      <c r="G414" s="22"/>
    </row>
    <row r="415" ht="16.5" customHeight="1">
      <c r="G415" s="22"/>
    </row>
    <row r="416" ht="16.5" customHeight="1">
      <c r="G416" s="22"/>
    </row>
    <row r="417" ht="16.5" customHeight="1">
      <c r="G417" s="22"/>
    </row>
    <row r="418" ht="16.5" customHeight="1">
      <c r="G418" s="22"/>
    </row>
    <row r="419" ht="16.5" customHeight="1">
      <c r="G419" s="22"/>
    </row>
    <row r="420" ht="16.5" customHeight="1">
      <c r="G420" s="22"/>
    </row>
    <row r="421" ht="16.5" customHeight="1">
      <c r="G421" s="22"/>
    </row>
    <row r="422" ht="16.5" customHeight="1">
      <c r="G422" s="22"/>
    </row>
    <row r="423" ht="16.5" customHeight="1">
      <c r="G423" s="22"/>
    </row>
    <row r="424" ht="16.5" customHeight="1">
      <c r="G424" s="22"/>
    </row>
    <row r="425" ht="16.5" customHeight="1">
      <c r="G425" s="22"/>
    </row>
    <row r="426" ht="16.5" customHeight="1">
      <c r="G426" s="22"/>
    </row>
    <row r="427" ht="16.5" customHeight="1">
      <c r="G427" s="22"/>
    </row>
    <row r="428" ht="16.5" customHeight="1">
      <c r="G428" s="22"/>
    </row>
    <row r="429" ht="16.5" customHeight="1">
      <c r="G429" s="22"/>
    </row>
    <row r="430" ht="16.5" customHeight="1">
      <c r="G430" s="22"/>
    </row>
    <row r="431" ht="16.5" customHeight="1">
      <c r="G431" s="22"/>
    </row>
    <row r="432" ht="16.5" customHeight="1">
      <c r="G432" s="22"/>
    </row>
    <row r="433" ht="16.5" customHeight="1">
      <c r="G433" s="22"/>
    </row>
    <row r="434" ht="16.5" customHeight="1">
      <c r="G434" s="22"/>
    </row>
    <row r="435" ht="16.5" customHeight="1">
      <c r="G435" s="22"/>
    </row>
    <row r="436" ht="16.5" customHeight="1">
      <c r="G436" s="22"/>
    </row>
    <row r="437" ht="16.5" customHeight="1">
      <c r="G437" s="22"/>
    </row>
    <row r="438" ht="16.5" customHeight="1">
      <c r="G438" s="22"/>
    </row>
    <row r="439" ht="16.5" customHeight="1">
      <c r="G439" s="22"/>
    </row>
    <row r="440" ht="16.5" customHeight="1">
      <c r="G440" s="22"/>
    </row>
    <row r="441" ht="16.5" customHeight="1">
      <c r="G441" s="22"/>
    </row>
    <row r="442" ht="16.5" customHeight="1">
      <c r="G442" s="22"/>
    </row>
    <row r="443" ht="16.5" customHeight="1">
      <c r="G443" s="22"/>
    </row>
    <row r="444" ht="16.5" customHeight="1">
      <c r="G444" s="22"/>
    </row>
    <row r="445" ht="16.5" customHeight="1">
      <c r="G445" s="22"/>
    </row>
    <row r="446" ht="16.5" customHeight="1">
      <c r="G446" s="22"/>
    </row>
    <row r="447" ht="16.5" customHeight="1">
      <c r="G447" s="22"/>
    </row>
    <row r="448" ht="16.5" customHeight="1">
      <c r="G448" s="22"/>
    </row>
    <row r="449" ht="16.5" customHeight="1">
      <c r="G449" s="22"/>
    </row>
    <row r="450" ht="16.5" customHeight="1">
      <c r="G450" s="22"/>
    </row>
    <row r="451" ht="16.5" customHeight="1">
      <c r="G451" s="22"/>
    </row>
    <row r="452" ht="16.5" customHeight="1">
      <c r="G452" s="22"/>
    </row>
    <row r="453" ht="16.5" customHeight="1">
      <c r="G453" s="22"/>
    </row>
    <row r="454" ht="16.5" customHeight="1">
      <c r="G454" s="22"/>
    </row>
    <row r="455" ht="16.5" customHeight="1">
      <c r="G455" s="22"/>
    </row>
    <row r="456" ht="16.5" customHeight="1">
      <c r="G456" s="22"/>
    </row>
    <row r="457" ht="16.5" customHeight="1">
      <c r="G457" s="22"/>
    </row>
    <row r="458" ht="16.5" customHeight="1">
      <c r="G458" s="22"/>
    </row>
    <row r="459" ht="16.5" customHeight="1">
      <c r="G459" s="22"/>
    </row>
    <row r="460" ht="16.5" customHeight="1">
      <c r="G460" s="22"/>
    </row>
    <row r="461" ht="16.5" customHeight="1">
      <c r="G461" s="22"/>
    </row>
    <row r="462" ht="16.5" customHeight="1">
      <c r="G462" s="22"/>
    </row>
    <row r="463" ht="16.5" customHeight="1">
      <c r="G463" s="22"/>
    </row>
    <row r="464" ht="16.5" customHeight="1">
      <c r="G464" s="22"/>
    </row>
    <row r="465" ht="16.5" customHeight="1">
      <c r="G465" s="22"/>
    </row>
    <row r="466" ht="16.5" customHeight="1">
      <c r="G466" s="22"/>
    </row>
    <row r="467" ht="16.5" customHeight="1">
      <c r="G467" s="22"/>
    </row>
    <row r="468" ht="16.5" customHeight="1">
      <c r="G468" s="22"/>
    </row>
    <row r="469" ht="16.5" customHeight="1">
      <c r="G469" s="22"/>
    </row>
    <row r="470" ht="16.5" customHeight="1">
      <c r="G470" s="22"/>
    </row>
    <row r="471" ht="16.5" customHeight="1">
      <c r="G471" s="22"/>
    </row>
    <row r="472" ht="16.5" customHeight="1">
      <c r="G472" s="22"/>
    </row>
    <row r="473" ht="16.5" customHeight="1">
      <c r="G473" s="22"/>
    </row>
    <row r="474" ht="16.5" customHeight="1">
      <c r="G474" s="22"/>
    </row>
    <row r="475" ht="16.5" customHeight="1">
      <c r="G475" s="22"/>
    </row>
    <row r="476" ht="16.5" customHeight="1">
      <c r="G476" s="22"/>
    </row>
    <row r="477" ht="16.5" customHeight="1">
      <c r="G477" s="22"/>
    </row>
    <row r="478" ht="16.5" customHeight="1">
      <c r="G478" s="22"/>
    </row>
    <row r="479" ht="16.5" customHeight="1">
      <c r="G479" s="22"/>
    </row>
    <row r="480" ht="16.5" customHeight="1">
      <c r="G480" s="22"/>
    </row>
    <row r="481" ht="16.5" customHeight="1">
      <c r="G481" s="22"/>
    </row>
    <row r="482" ht="16.5" customHeight="1">
      <c r="G482" s="22"/>
    </row>
    <row r="483" ht="16.5" customHeight="1">
      <c r="G483" s="22"/>
    </row>
    <row r="484" ht="16.5" customHeight="1">
      <c r="G484" s="22"/>
    </row>
    <row r="485" ht="16.5" customHeight="1">
      <c r="G485" s="22"/>
    </row>
    <row r="486" ht="16.5" customHeight="1">
      <c r="G486" s="22"/>
    </row>
    <row r="487" ht="16.5" customHeight="1">
      <c r="G487" s="22"/>
    </row>
    <row r="488" ht="16.5" customHeight="1">
      <c r="G488" s="22"/>
    </row>
    <row r="489" ht="16.5" customHeight="1">
      <c r="G489" s="22"/>
    </row>
    <row r="490" ht="16.5" customHeight="1">
      <c r="G490" s="22"/>
    </row>
    <row r="491" ht="16.5" customHeight="1">
      <c r="G491" s="22"/>
    </row>
    <row r="492" ht="16.5" customHeight="1">
      <c r="G492" s="22"/>
    </row>
    <row r="493" ht="16.5" customHeight="1">
      <c r="G493" s="22"/>
    </row>
    <row r="494" ht="16.5" customHeight="1">
      <c r="G494" s="22"/>
    </row>
    <row r="495" ht="16.5" customHeight="1">
      <c r="G495" s="22"/>
    </row>
    <row r="496" ht="16.5" customHeight="1">
      <c r="G496" s="22"/>
    </row>
    <row r="497" ht="16.5" customHeight="1">
      <c r="G497" s="22"/>
    </row>
    <row r="498" ht="16.5" customHeight="1">
      <c r="G498" s="22"/>
    </row>
    <row r="499" ht="16.5" customHeight="1">
      <c r="G499" s="22"/>
    </row>
    <row r="500" ht="16.5" customHeight="1">
      <c r="G500" s="22"/>
    </row>
    <row r="501" ht="16.5" customHeight="1">
      <c r="G501" s="22"/>
    </row>
    <row r="502" ht="16.5" customHeight="1">
      <c r="G502" s="22"/>
    </row>
    <row r="503" ht="16.5" customHeight="1">
      <c r="G503" s="22"/>
    </row>
    <row r="504" ht="16.5" customHeight="1">
      <c r="G504" s="22"/>
    </row>
    <row r="505" ht="16.5" customHeight="1">
      <c r="G505" s="22"/>
    </row>
    <row r="506" ht="16.5" customHeight="1">
      <c r="G506" s="22"/>
    </row>
    <row r="507" ht="16.5" customHeight="1">
      <c r="G507" s="22"/>
    </row>
    <row r="508" ht="16.5" customHeight="1">
      <c r="G508" s="22"/>
    </row>
    <row r="509" ht="16.5" customHeight="1">
      <c r="G509" s="22"/>
    </row>
    <row r="510" ht="16.5" customHeight="1">
      <c r="G510" s="22"/>
    </row>
    <row r="511" ht="16.5" customHeight="1">
      <c r="G511" s="22"/>
    </row>
    <row r="512" ht="16.5" customHeight="1">
      <c r="G512" s="22"/>
    </row>
    <row r="513" ht="16.5" customHeight="1">
      <c r="G513" s="22"/>
    </row>
    <row r="514" ht="16.5" customHeight="1">
      <c r="G514" s="22"/>
    </row>
    <row r="515" ht="16.5" customHeight="1">
      <c r="G515" s="22"/>
    </row>
    <row r="516" ht="16.5" customHeight="1">
      <c r="G516" s="22"/>
    </row>
    <row r="517" ht="16.5" customHeight="1">
      <c r="G517" s="22"/>
    </row>
    <row r="518" ht="16.5" customHeight="1">
      <c r="G518" s="22"/>
    </row>
    <row r="519" ht="16.5" customHeight="1">
      <c r="G519" s="22"/>
    </row>
    <row r="520" ht="16.5" customHeight="1">
      <c r="G520" s="22"/>
    </row>
    <row r="521" ht="16.5" customHeight="1">
      <c r="G521" s="22"/>
    </row>
    <row r="522" ht="16.5" customHeight="1">
      <c r="G522" s="22"/>
    </row>
    <row r="523" ht="16.5" customHeight="1">
      <c r="G523" s="22"/>
    </row>
    <row r="524" ht="16.5" customHeight="1">
      <c r="G524" s="22"/>
    </row>
    <row r="525" ht="16.5" customHeight="1">
      <c r="G525" s="22"/>
    </row>
    <row r="526" ht="16.5" customHeight="1">
      <c r="G526" s="22"/>
    </row>
    <row r="527" ht="16.5" customHeight="1">
      <c r="G527" s="22"/>
    </row>
    <row r="528" ht="16.5" customHeight="1">
      <c r="G528" s="22"/>
    </row>
    <row r="529" ht="16.5" customHeight="1">
      <c r="G529" s="22"/>
    </row>
    <row r="530" ht="16.5" customHeight="1">
      <c r="G530" s="22"/>
    </row>
    <row r="531" ht="16.5" customHeight="1">
      <c r="G531" s="22"/>
    </row>
    <row r="532" ht="16.5" customHeight="1">
      <c r="G532" s="22"/>
    </row>
    <row r="533" ht="16.5" customHeight="1">
      <c r="G533" s="22"/>
    </row>
    <row r="534" ht="16.5" customHeight="1">
      <c r="G534" s="22"/>
    </row>
    <row r="535" ht="16.5" customHeight="1">
      <c r="G535" s="22"/>
    </row>
    <row r="536" ht="16.5" customHeight="1">
      <c r="G536" s="22"/>
    </row>
    <row r="537" ht="16.5" customHeight="1">
      <c r="G537" s="22"/>
    </row>
    <row r="538" ht="16.5" customHeight="1">
      <c r="G538" s="22"/>
    </row>
    <row r="539" ht="16.5" customHeight="1">
      <c r="G539" s="22"/>
    </row>
    <row r="540" ht="16.5" customHeight="1">
      <c r="G540" s="22"/>
    </row>
    <row r="541" ht="16.5" customHeight="1">
      <c r="G541" s="22"/>
    </row>
    <row r="542" ht="16.5" customHeight="1">
      <c r="G542" s="22"/>
    </row>
    <row r="543" ht="16.5" customHeight="1">
      <c r="G543" s="22"/>
    </row>
    <row r="544" ht="16.5" customHeight="1">
      <c r="G544" s="22"/>
    </row>
    <row r="545" ht="16.5" customHeight="1">
      <c r="G545" s="22"/>
    </row>
    <row r="546" ht="16.5" customHeight="1">
      <c r="G546" s="22"/>
    </row>
    <row r="547" ht="16.5" customHeight="1">
      <c r="G547" s="22"/>
    </row>
    <row r="548" ht="16.5" customHeight="1">
      <c r="G548" s="22"/>
    </row>
    <row r="549" ht="16.5" customHeight="1">
      <c r="G549" s="22"/>
    </row>
    <row r="550" ht="16.5" customHeight="1">
      <c r="G550" s="22"/>
    </row>
    <row r="551" ht="16.5" customHeight="1">
      <c r="G551" s="22"/>
    </row>
    <row r="552" ht="16.5" customHeight="1">
      <c r="G552" s="22"/>
    </row>
    <row r="553" ht="16.5" customHeight="1">
      <c r="G553" s="22"/>
    </row>
    <row r="554" ht="16.5" customHeight="1">
      <c r="G554" s="22"/>
    </row>
    <row r="555" ht="16.5" customHeight="1">
      <c r="G555" s="22"/>
    </row>
    <row r="556" ht="16.5" customHeight="1">
      <c r="G556" s="22"/>
    </row>
    <row r="557" ht="16.5" customHeight="1">
      <c r="G557" s="22"/>
    </row>
    <row r="558" ht="16.5" customHeight="1">
      <c r="G558" s="22"/>
    </row>
    <row r="559" ht="16.5" customHeight="1">
      <c r="G559" s="22"/>
    </row>
    <row r="560" ht="16.5" customHeight="1">
      <c r="G560" s="22"/>
    </row>
    <row r="561" ht="16.5" customHeight="1">
      <c r="G561" s="22"/>
    </row>
    <row r="562" ht="16.5" customHeight="1">
      <c r="G562" s="22"/>
    </row>
    <row r="563" ht="16.5" customHeight="1">
      <c r="G563" s="22"/>
    </row>
    <row r="564" ht="16.5" customHeight="1">
      <c r="G564" s="22"/>
    </row>
    <row r="565" ht="16.5" customHeight="1">
      <c r="G565" s="22"/>
    </row>
    <row r="566" ht="16.5" customHeight="1">
      <c r="G566" s="22"/>
    </row>
    <row r="567" ht="16.5" customHeight="1">
      <c r="G567" s="22"/>
    </row>
    <row r="568" ht="16.5" customHeight="1">
      <c r="G568" s="22"/>
    </row>
    <row r="569" ht="16.5" customHeight="1">
      <c r="G569" s="22"/>
    </row>
    <row r="570" ht="16.5" customHeight="1">
      <c r="G570" s="22"/>
    </row>
    <row r="571" ht="16.5" customHeight="1">
      <c r="G571" s="22"/>
    </row>
    <row r="572" ht="16.5" customHeight="1">
      <c r="G572" s="22"/>
    </row>
    <row r="573" ht="16.5" customHeight="1">
      <c r="G573" s="22"/>
    </row>
    <row r="574" ht="16.5" customHeight="1">
      <c r="G574" s="22"/>
    </row>
    <row r="575" ht="16.5" customHeight="1">
      <c r="G575" s="22"/>
    </row>
    <row r="576" ht="16.5" customHeight="1">
      <c r="G576" s="22"/>
    </row>
    <row r="577" ht="16.5" customHeight="1">
      <c r="G577" s="22"/>
    </row>
    <row r="578" ht="16.5" customHeight="1">
      <c r="G578" s="22"/>
    </row>
    <row r="579" ht="16.5" customHeight="1">
      <c r="G579" s="22"/>
    </row>
    <row r="580" ht="16.5" customHeight="1">
      <c r="G580" s="22"/>
    </row>
    <row r="581" ht="16.5" customHeight="1">
      <c r="G581" s="22"/>
    </row>
    <row r="582" ht="16.5" customHeight="1">
      <c r="G582" s="22"/>
    </row>
    <row r="583" ht="16.5" customHeight="1">
      <c r="G583" s="22"/>
    </row>
    <row r="584" ht="16.5" customHeight="1">
      <c r="G584" s="22"/>
    </row>
    <row r="585" ht="16.5" customHeight="1">
      <c r="G585" s="22"/>
    </row>
    <row r="586" ht="16.5" customHeight="1">
      <c r="G586" s="22"/>
    </row>
    <row r="587" ht="16.5" customHeight="1">
      <c r="G587" s="22"/>
    </row>
    <row r="588" ht="16.5" customHeight="1">
      <c r="G588" s="22"/>
    </row>
    <row r="589" ht="16.5" customHeight="1">
      <c r="G589" s="22"/>
    </row>
    <row r="590" ht="16.5" customHeight="1">
      <c r="G590" s="22"/>
    </row>
    <row r="591" ht="16.5" customHeight="1">
      <c r="G591" s="22"/>
    </row>
    <row r="592" ht="16.5" customHeight="1">
      <c r="G592" s="22"/>
    </row>
    <row r="593" ht="16.5" customHeight="1">
      <c r="G593" s="22"/>
    </row>
    <row r="594" ht="16.5" customHeight="1">
      <c r="G594" s="22"/>
    </row>
    <row r="595" ht="16.5" customHeight="1">
      <c r="G595" s="22"/>
    </row>
    <row r="596" ht="16.5" customHeight="1">
      <c r="G596" s="22"/>
    </row>
    <row r="597" ht="16.5" customHeight="1">
      <c r="G597" s="22"/>
    </row>
    <row r="598" ht="16.5" customHeight="1">
      <c r="G598" s="22"/>
    </row>
    <row r="599" ht="16.5" customHeight="1">
      <c r="G599" s="22"/>
    </row>
    <row r="600" ht="16.5" customHeight="1">
      <c r="G600" s="22"/>
    </row>
    <row r="601" ht="16.5" customHeight="1">
      <c r="G601" s="22"/>
    </row>
    <row r="602" ht="16.5" customHeight="1">
      <c r="G602" s="22"/>
    </row>
    <row r="603" ht="16.5" customHeight="1">
      <c r="G603" s="22"/>
    </row>
    <row r="604" ht="16.5" customHeight="1">
      <c r="G604" s="22"/>
    </row>
    <row r="605" ht="16.5" customHeight="1">
      <c r="G605" s="22"/>
    </row>
    <row r="606" ht="16.5" customHeight="1">
      <c r="G606" s="22"/>
    </row>
    <row r="607" ht="16.5" customHeight="1">
      <c r="G607" s="22"/>
    </row>
    <row r="608" ht="16.5" customHeight="1">
      <c r="G608" s="22"/>
    </row>
    <row r="609" ht="16.5" customHeight="1">
      <c r="G609" s="22"/>
    </row>
    <row r="610" ht="16.5" customHeight="1">
      <c r="G610" s="22"/>
    </row>
    <row r="611" ht="16.5" customHeight="1">
      <c r="G611" s="22"/>
    </row>
    <row r="612" ht="16.5" customHeight="1">
      <c r="G612" s="22"/>
    </row>
    <row r="613" ht="16.5" customHeight="1">
      <c r="G613" s="22"/>
    </row>
    <row r="614" ht="16.5" customHeight="1">
      <c r="G614" s="22"/>
    </row>
    <row r="615" ht="16.5" customHeight="1">
      <c r="G615" s="22"/>
    </row>
    <row r="616" ht="16.5" customHeight="1">
      <c r="G616" s="22"/>
    </row>
    <row r="617" ht="16.5" customHeight="1">
      <c r="G617" s="22"/>
    </row>
    <row r="618" ht="16.5" customHeight="1">
      <c r="G618" s="22"/>
    </row>
    <row r="619" ht="16.5" customHeight="1">
      <c r="G619" s="22"/>
    </row>
    <row r="620" ht="16.5" customHeight="1">
      <c r="G620" s="22"/>
    </row>
    <row r="621" ht="16.5" customHeight="1">
      <c r="G621" s="22"/>
    </row>
    <row r="622" ht="16.5" customHeight="1">
      <c r="G622" s="22"/>
    </row>
    <row r="623" ht="16.5" customHeight="1">
      <c r="G623" s="22"/>
    </row>
    <row r="624" ht="16.5" customHeight="1">
      <c r="G624" s="22"/>
    </row>
    <row r="625" ht="16.5" customHeight="1">
      <c r="G625" s="22"/>
    </row>
    <row r="626" ht="16.5" customHeight="1">
      <c r="G626" s="22"/>
    </row>
    <row r="627" ht="16.5" customHeight="1">
      <c r="G627" s="22"/>
    </row>
    <row r="628" ht="16.5" customHeight="1">
      <c r="G628" s="22"/>
    </row>
    <row r="629" ht="16.5" customHeight="1">
      <c r="G629" s="22"/>
    </row>
    <row r="630" ht="16.5" customHeight="1">
      <c r="G630" s="22"/>
    </row>
    <row r="631" ht="16.5" customHeight="1">
      <c r="G631" s="22"/>
    </row>
    <row r="632" ht="16.5" customHeight="1">
      <c r="G632" s="22"/>
    </row>
    <row r="633" ht="16.5" customHeight="1">
      <c r="G633" s="22"/>
    </row>
    <row r="634" ht="16.5" customHeight="1">
      <c r="G634" s="22"/>
    </row>
    <row r="635" ht="16.5" customHeight="1">
      <c r="G635" s="22"/>
    </row>
    <row r="636" ht="16.5" customHeight="1">
      <c r="G636" s="22"/>
    </row>
    <row r="637" ht="16.5" customHeight="1">
      <c r="G637" s="22"/>
    </row>
    <row r="638" ht="16.5" customHeight="1">
      <c r="G638" s="22"/>
    </row>
    <row r="639" ht="16.5" customHeight="1">
      <c r="G639" s="22"/>
    </row>
    <row r="640" ht="16.5" customHeight="1">
      <c r="G640" s="22"/>
    </row>
    <row r="641" ht="16.5" customHeight="1">
      <c r="G641" s="22"/>
    </row>
    <row r="642" ht="16.5" customHeight="1">
      <c r="G642" s="22"/>
    </row>
    <row r="643" ht="16.5" customHeight="1">
      <c r="G643" s="22"/>
    </row>
    <row r="644" ht="16.5" customHeight="1">
      <c r="G644" s="22"/>
    </row>
    <row r="645" ht="16.5" customHeight="1">
      <c r="G645" s="22"/>
    </row>
    <row r="646" ht="16.5" customHeight="1">
      <c r="G646" s="22"/>
    </row>
    <row r="647" ht="16.5" customHeight="1">
      <c r="G647" s="22"/>
    </row>
    <row r="648" ht="16.5" customHeight="1">
      <c r="G648" s="22"/>
    </row>
    <row r="649" ht="16.5" customHeight="1">
      <c r="G649" s="22"/>
    </row>
    <row r="650" ht="16.5" customHeight="1">
      <c r="G650" s="22"/>
    </row>
    <row r="651" ht="16.5" customHeight="1">
      <c r="G651" s="22"/>
    </row>
    <row r="652" ht="16.5" customHeight="1">
      <c r="G652" s="22"/>
    </row>
    <row r="653" ht="16.5" customHeight="1">
      <c r="G653" s="22"/>
    </row>
    <row r="654" ht="16.5" customHeight="1">
      <c r="G654" s="22"/>
    </row>
    <row r="655" ht="16.5" customHeight="1">
      <c r="G655" s="22"/>
    </row>
    <row r="656" ht="16.5" customHeight="1">
      <c r="G656" s="22"/>
    </row>
    <row r="657" ht="16.5" customHeight="1">
      <c r="G657" s="22"/>
    </row>
    <row r="658" ht="16.5" customHeight="1">
      <c r="G658" s="22"/>
    </row>
    <row r="659" ht="16.5" customHeight="1">
      <c r="G659" s="22"/>
    </row>
    <row r="660" ht="16.5" customHeight="1">
      <c r="G660" s="22"/>
    </row>
    <row r="661" ht="16.5" customHeight="1">
      <c r="G661" s="22"/>
    </row>
    <row r="662" ht="16.5" customHeight="1">
      <c r="G662" s="22"/>
    </row>
    <row r="663" ht="16.5" customHeight="1">
      <c r="G663" s="22"/>
    </row>
    <row r="664" ht="16.5" customHeight="1">
      <c r="G664" s="22"/>
    </row>
    <row r="665" ht="16.5" customHeight="1">
      <c r="G665" s="22"/>
    </row>
    <row r="666" ht="16.5" customHeight="1">
      <c r="G666" s="22"/>
    </row>
    <row r="667" ht="16.5" customHeight="1">
      <c r="G667" s="22"/>
    </row>
    <row r="668" ht="16.5" customHeight="1">
      <c r="G668" s="22"/>
    </row>
    <row r="669" ht="16.5" customHeight="1">
      <c r="G669" s="22"/>
    </row>
    <row r="670" ht="16.5" customHeight="1">
      <c r="G670" s="22"/>
    </row>
    <row r="671" ht="16.5" customHeight="1">
      <c r="G671" s="22"/>
    </row>
    <row r="672" ht="16.5" customHeight="1">
      <c r="G672" s="22"/>
    </row>
    <row r="673" ht="16.5" customHeight="1">
      <c r="G673" s="22"/>
    </row>
    <row r="674" ht="16.5" customHeight="1">
      <c r="G674" s="22"/>
    </row>
    <row r="675" ht="16.5" customHeight="1">
      <c r="G675" s="22"/>
    </row>
    <row r="676" ht="16.5" customHeight="1">
      <c r="G676" s="22"/>
    </row>
    <row r="677" ht="16.5" customHeight="1">
      <c r="G677" s="22"/>
    </row>
    <row r="678" ht="16.5" customHeight="1">
      <c r="G678" s="22"/>
    </row>
    <row r="679" ht="16.5" customHeight="1">
      <c r="G679" s="22"/>
    </row>
    <row r="680" ht="16.5" customHeight="1">
      <c r="G680" s="22"/>
    </row>
    <row r="681" ht="16.5" customHeight="1">
      <c r="G681" s="22"/>
    </row>
    <row r="682" ht="16.5" customHeight="1">
      <c r="G682" s="22"/>
    </row>
    <row r="683" ht="16.5" customHeight="1">
      <c r="G683" s="22"/>
    </row>
    <row r="684" ht="16.5" customHeight="1">
      <c r="G684" s="22"/>
    </row>
    <row r="685" ht="16.5" customHeight="1">
      <c r="G685" s="22"/>
    </row>
    <row r="686" ht="16.5" customHeight="1">
      <c r="G686" s="22"/>
    </row>
    <row r="687" ht="16.5" customHeight="1">
      <c r="G687" s="22"/>
    </row>
    <row r="688" ht="16.5" customHeight="1">
      <c r="G688" s="22"/>
    </row>
    <row r="689" ht="16.5" customHeight="1">
      <c r="G689" s="22"/>
    </row>
    <row r="690" ht="16.5" customHeight="1">
      <c r="G690" s="22"/>
    </row>
    <row r="691" ht="16.5" customHeight="1">
      <c r="G691" s="22"/>
    </row>
    <row r="692" ht="16.5" customHeight="1">
      <c r="G692" s="22"/>
    </row>
    <row r="693" ht="16.5" customHeight="1">
      <c r="G693" s="22"/>
    </row>
    <row r="694" ht="16.5" customHeight="1">
      <c r="G694" s="22"/>
    </row>
    <row r="695" ht="16.5" customHeight="1">
      <c r="G695" s="22"/>
    </row>
    <row r="696" ht="16.5" customHeight="1">
      <c r="G696" s="22"/>
    </row>
    <row r="697" ht="16.5" customHeight="1">
      <c r="G697" s="22"/>
    </row>
    <row r="698" ht="16.5" customHeight="1">
      <c r="G698" s="22"/>
    </row>
    <row r="699" ht="16.5" customHeight="1">
      <c r="G699" s="22"/>
    </row>
    <row r="700" ht="16.5" customHeight="1">
      <c r="G700" s="22"/>
    </row>
    <row r="701" ht="16.5" customHeight="1">
      <c r="G701" s="22"/>
    </row>
    <row r="702" ht="16.5" customHeight="1">
      <c r="G702" s="22"/>
    </row>
    <row r="703" ht="16.5" customHeight="1">
      <c r="G703" s="22"/>
    </row>
    <row r="704" ht="16.5" customHeight="1">
      <c r="G704" s="22"/>
    </row>
    <row r="705" ht="16.5" customHeight="1">
      <c r="G705" s="22"/>
    </row>
    <row r="706" ht="16.5" customHeight="1">
      <c r="G706" s="22"/>
    </row>
    <row r="707" ht="16.5" customHeight="1">
      <c r="G707" s="22"/>
    </row>
    <row r="708" ht="16.5" customHeight="1">
      <c r="G708" s="22"/>
    </row>
    <row r="709" ht="16.5" customHeight="1">
      <c r="G709" s="22"/>
    </row>
    <row r="710" ht="16.5" customHeight="1">
      <c r="G710" s="22"/>
    </row>
    <row r="711" ht="16.5" customHeight="1">
      <c r="G711" s="22"/>
    </row>
    <row r="712" ht="16.5" customHeight="1">
      <c r="G712" s="22"/>
    </row>
    <row r="713" ht="16.5" customHeight="1">
      <c r="G713" s="22"/>
    </row>
    <row r="714" ht="16.5" customHeight="1">
      <c r="G714" s="22"/>
    </row>
    <row r="715" ht="16.5" customHeight="1">
      <c r="G715" s="22"/>
    </row>
    <row r="716" ht="16.5" customHeight="1">
      <c r="G716" s="22"/>
    </row>
    <row r="717" ht="16.5" customHeight="1">
      <c r="G717" s="22"/>
    </row>
    <row r="718" ht="16.5" customHeight="1">
      <c r="G718" s="22"/>
    </row>
    <row r="719" ht="16.5" customHeight="1">
      <c r="G719" s="22"/>
    </row>
    <row r="720" ht="16.5" customHeight="1">
      <c r="G720" s="22"/>
    </row>
    <row r="721" ht="16.5" customHeight="1">
      <c r="G721" s="22"/>
    </row>
    <row r="722" ht="16.5" customHeight="1">
      <c r="G722" s="22"/>
    </row>
    <row r="723" ht="16.5" customHeight="1">
      <c r="G723" s="22"/>
    </row>
    <row r="724" ht="16.5" customHeight="1">
      <c r="G724" s="22"/>
    </row>
    <row r="725" ht="16.5" customHeight="1">
      <c r="G725" s="22"/>
    </row>
    <row r="726" ht="16.5" customHeight="1">
      <c r="G726" s="22"/>
    </row>
    <row r="727" ht="16.5" customHeight="1">
      <c r="G727" s="22"/>
    </row>
    <row r="728" ht="16.5" customHeight="1">
      <c r="G728" s="22"/>
    </row>
    <row r="729" ht="16.5" customHeight="1">
      <c r="G729" s="22"/>
    </row>
    <row r="730" ht="16.5" customHeight="1">
      <c r="G730" s="22"/>
    </row>
    <row r="731" ht="16.5" customHeight="1">
      <c r="G731" s="22"/>
    </row>
    <row r="732" ht="16.5" customHeight="1">
      <c r="G732" s="22"/>
    </row>
    <row r="733" ht="16.5" customHeight="1">
      <c r="G733" s="22"/>
    </row>
    <row r="734" ht="16.5" customHeight="1">
      <c r="G734" s="22"/>
    </row>
    <row r="735" ht="16.5" customHeight="1">
      <c r="G735" s="22"/>
    </row>
    <row r="736" ht="16.5" customHeight="1">
      <c r="G736" s="22"/>
    </row>
    <row r="737" ht="16.5" customHeight="1">
      <c r="G737" s="22"/>
    </row>
    <row r="738" ht="16.5" customHeight="1">
      <c r="G738" s="22"/>
    </row>
    <row r="739" ht="16.5" customHeight="1">
      <c r="G739" s="22"/>
    </row>
    <row r="740" ht="16.5" customHeight="1">
      <c r="G740" s="22"/>
    </row>
    <row r="741" ht="16.5" customHeight="1">
      <c r="G741" s="22"/>
    </row>
    <row r="742" ht="16.5" customHeight="1">
      <c r="G742" s="22"/>
    </row>
    <row r="743" ht="16.5" customHeight="1">
      <c r="G743" s="22"/>
    </row>
    <row r="744" ht="16.5" customHeight="1">
      <c r="G744" s="22"/>
    </row>
    <row r="745" ht="16.5" customHeight="1">
      <c r="G745" s="22"/>
    </row>
    <row r="746" ht="16.5" customHeight="1">
      <c r="G746" s="22"/>
    </row>
    <row r="747" ht="16.5" customHeight="1">
      <c r="G747" s="22"/>
    </row>
    <row r="748" ht="16.5" customHeight="1">
      <c r="G748" s="22"/>
    </row>
    <row r="749" ht="16.5" customHeight="1">
      <c r="G749" s="22"/>
    </row>
    <row r="750" ht="16.5" customHeight="1">
      <c r="G750" s="22"/>
    </row>
    <row r="751" ht="16.5" customHeight="1">
      <c r="G751" s="22"/>
    </row>
    <row r="752" ht="16.5" customHeight="1">
      <c r="G752" s="22"/>
    </row>
    <row r="753" ht="16.5" customHeight="1">
      <c r="G753" s="22"/>
    </row>
    <row r="754" ht="16.5" customHeight="1">
      <c r="G754" s="22"/>
    </row>
    <row r="755" ht="16.5" customHeight="1">
      <c r="G755" s="22"/>
    </row>
    <row r="756" ht="16.5" customHeight="1">
      <c r="G756" s="22"/>
    </row>
    <row r="757" ht="16.5" customHeight="1">
      <c r="G757" s="22"/>
    </row>
    <row r="758" ht="16.5" customHeight="1">
      <c r="G758" s="22"/>
    </row>
    <row r="759" ht="16.5" customHeight="1">
      <c r="G759" s="22"/>
    </row>
    <row r="760" ht="16.5" customHeight="1">
      <c r="G760" s="22"/>
    </row>
    <row r="761" ht="16.5" customHeight="1">
      <c r="G761" s="22"/>
    </row>
    <row r="762" ht="16.5" customHeight="1">
      <c r="G762" s="22"/>
    </row>
    <row r="763" ht="16.5" customHeight="1">
      <c r="G763" s="22"/>
    </row>
    <row r="764" ht="16.5" customHeight="1">
      <c r="G764" s="22"/>
    </row>
    <row r="765" ht="16.5" customHeight="1">
      <c r="G765" s="22"/>
    </row>
    <row r="766" ht="16.5" customHeight="1">
      <c r="G766" s="22"/>
    </row>
    <row r="767" ht="16.5" customHeight="1">
      <c r="G767" s="22"/>
    </row>
    <row r="768" ht="16.5" customHeight="1">
      <c r="G768" s="22"/>
    </row>
    <row r="769" ht="16.5" customHeight="1">
      <c r="G769" s="22"/>
    </row>
    <row r="770" ht="16.5" customHeight="1">
      <c r="G770" s="22"/>
    </row>
    <row r="771" ht="16.5" customHeight="1">
      <c r="G771" s="22"/>
    </row>
    <row r="772" ht="16.5" customHeight="1">
      <c r="G772" s="22"/>
    </row>
    <row r="773" ht="16.5" customHeight="1">
      <c r="G773" s="22"/>
    </row>
    <row r="774" ht="16.5" customHeight="1">
      <c r="G774" s="22"/>
    </row>
    <row r="775" ht="16.5" customHeight="1">
      <c r="G775" s="22"/>
    </row>
    <row r="776" ht="16.5" customHeight="1">
      <c r="G776" s="22"/>
    </row>
    <row r="777" ht="16.5" customHeight="1">
      <c r="G777" s="22"/>
    </row>
    <row r="778" ht="16.5" customHeight="1">
      <c r="G778" s="22"/>
    </row>
    <row r="779" ht="16.5" customHeight="1">
      <c r="G779" s="22"/>
    </row>
    <row r="780" ht="16.5" customHeight="1">
      <c r="G780" s="22"/>
    </row>
    <row r="781" ht="16.5" customHeight="1">
      <c r="G781" s="22"/>
    </row>
    <row r="782" ht="16.5" customHeight="1">
      <c r="G782" s="22"/>
    </row>
    <row r="783" ht="16.5" customHeight="1">
      <c r="G783" s="22"/>
    </row>
    <row r="784" ht="16.5" customHeight="1">
      <c r="G784" s="22"/>
    </row>
    <row r="785" ht="16.5" customHeight="1">
      <c r="G785" s="22"/>
    </row>
    <row r="786" ht="16.5" customHeight="1">
      <c r="G786" s="22"/>
    </row>
    <row r="787" ht="16.5" customHeight="1">
      <c r="G787" s="22"/>
    </row>
    <row r="788" ht="16.5" customHeight="1">
      <c r="G788" s="22"/>
    </row>
    <row r="789" ht="16.5" customHeight="1">
      <c r="G789" s="22"/>
    </row>
    <row r="790" ht="16.5" customHeight="1">
      <c r="G790" s="22"/>
    </row>
    <row r="791" ht="16.5" customHeight="1">
      <c r="G791" s="22"/>
    </row>
    <row r="792" ht="16.5" customHeight="1">
      <c r="G792" s="22"/>
    </row>
    <row r="793" ht="16.5" customHeight="1">
      <c r="G793" s="22"/>
    </row>
    <row r="794" ht="16.5" customHeight="1">
      <c r="G794" s="22"/>
    </row>
    <row r="795" ht="16.5" customHeight="1">
      <c r="G795" s="22"/>
    </row>
    <row r="796" ht="16.5" customHeight="1">
      <c r="G796" s="22"/>
    </row>
    <row r="797" ht="16.5" customHeight="1">
      <c r="G797" s="22"/>
    </row>
    <row r="798" ht="16.5" customHeight="1">
      <c r="G798" s="22"/>
    </row>
    <row r="799" ht="16.5" customHeight="1">
      <c r="G799" s="22"/>
    </row>
    <row r="800" ht="16.5" customHeight="1">
      <c r="G800" s="22"/>
    </row>
    <row r="801" ht="16.5" customHeight="1">
      <c r="G801" s="22"/>
    </row>
    <row r="802" ht="16.5" customHeight="1">
      <c r="G802" s="22"/>
    </row>
    <row r="803" ht="16.5" customHeight="1">
      <c r="G803" s="22"/>
    </row>
    <row r="804" ht="16.5" customHeight="1">
      <c r="G804" s="22"/>
    </row>
    <row r="805" ht="16.5" customHeight="1">
      <c r="G805" s="22"/>
    </row>
    <row r="806" ht="16.5" customHeight="1">
      <c r="G806" s="22"/>
    </row>
    <row r="807" ht="16.5" customHeight="1">
      <c r="G807" s="22"/>
    </row>
    <row r="808" ht="16.5" customHeight="1">
      <c r="G808" s="22"/>
    </row>
    <row r="809" ht="16.5" customHeight="1">
      <c r="G809" s="22"/>
    </row>
    <row r="810" ht="16.5" customHeight="1">
      <c r="G810" s="22"/>
    </row>
    <row r="811" ht="16.5" customHeight="1">
      <c r="G811" s="22"/>
    </row>
    <row r="812" ht="16.5" customHeight="1">
      <c r="G812" s="22"/>
    </row>
    <row r="813" ht="16.5" customHeight="1">
      <c r="G813" s="22"/>
    </row>
    <row r="814" ht="16.5" customHeight="1">
      <c r="G814" s="22"/>
    </row>
    <row r="815" ht="16.5" customHeight="1">
      <c r="G815" s="22"/>
    </row>
    <row r="816" ht="16.5" customHeight="1">
      <c r="G816" s="22"/>
    </row>
    <row r="817" ht="16.5" customHeight="1">
      <c r="G817" s="22"/>
    </row>
    <row r="818" ht="16.5" customHeight="1">
      <c r="G818" s="22"/>
    </row>
    <row r="819" ht="16.5" customHeight="1">
      <c r="G819" s="22"/>
    </row>
    <row r="820" ht="16.5" customHeight="1">
      <c r="G820" s="22"/>
    </row>
    <row r="821" ht="16.5" customHeight="1">
      <c r="G821" s="22"/>
    </row>
    <row r="822" ht="16.5" customHeight="1">
      <c r="G822" s="22"/>
    </row>
    <row r="823" ht="16.5" customHeight="1">
      <c r="G823" s="22"/>
    </row>
    <row r="824" ht="16.5" customHeight="1">
      <c r="G824" s="22"/>
    </row>
    <row r="825" ht="16.5" customHeight="1">
      <c r="G825" s="22"/>
    </row>
    <row r="826" ht="16.5" customHeight="1">
      <c r="G826" s="22"/>
    </row>
    <row r="827" ht="16.5" customHeight="1">
      <c r="G827" s="22"/>
    </row>
    <row r="828" ht="16.5" customHeight="1">
      <c r="G828" s="22"/>
    </row>
    <row r="829" ht="16.5" customHeight="1">
      <c r="G829" s="22"/>
    </row>
    <row r="830" ht="16.5" customHeight="1">
      <c r="G830" s="22"/>
    </row>
    <row r="831" ht="16.5" customHeight="1">
      <c r="G831" s="22"/>
    </row>
    <row r="832" ht="16.5" customHeight="1">
      <c r="G832" s="22"/>
    </row>
    <row r="833" ht="16.5" customHeight="1">
      <c r="G833" s="22"/>
    </row>
    <row r="834" ht="16.5" customHeight="1">
      <c r="G834" s="22"/>
    </row>
    <row r="835" ht="16.5" customHeight="1">
      <c r="G835" s="22"/>
    </row>
    <row r="836" ht="16.5" customHeight="1">
      <c r="G836" s="22"/>
    </row>
    <row r="837" ht="16.5" customHeight="1">
      <c r="G837" s="22"/>
    </row>
    <row r="838" ht="16.5" customHeight="1">
      <c r="G838" s="22"/>
    </row>
    <row r="839" ht="16.5" customHeight="1">
      <c r="G839" s="22"/>
    </row>
    <row r="840" ht="16.5" customHeight="1">
      <c r="G840" s="22"/>
    </row>
    <row r="841" ht="16.5" customHeight="1">
      <c r="G841" s="22"/>
    </row>
    <row r="842" ht="16.5" customHeight="1">
      <c r="G842" s="22"/>
    </row>
    <row r="843" ht="16.5" customHeight="1">
      <c r="G843" s="22"/>
    </row>
    <row r="844" ht="16.5" customHeight="1">
      <c r="G844" s="22"/>
    </row>
    <row r="845" ht="16.5" customHeight="1">
      <c r="G845" s="22"/>
    </row>
    <row r="846" ht="16.5" customHeight="1">
      <c r="G846" s="22"/>
    </row>
    <row r="847" ht="16.5" customHeight="1">
      <c r="G847" s="22"/>
    </row>
    <row r="848" ht="16.5" customHeight="1">
      <c r="G848" s="22"/>
    </row>
    <row r="849" ht="16.5" customHeight="1">
      <c r="G849" s="22"/>
    </row>
    <row r="850" ht="16.5" customHeight="1">
      <c r="G850" s="22"/>
    </row>
    <row r="851" ht="16.5" customHeight="1">
      <c r="G851" s="22"/>
    </row>
    <row r="852" ht="16.5" customHeight="1">
      <c r="G852" s="22"/>
    </row>
    <row r="853" ht="16.5" customHeight="1">
      <c r="G853" s="22"/>
    </row>
    <row r="854" ht="16.5" customHeight="1">
      <c r="G854" s="22"/>
    </row>
    <row r="855" ht="16.5" customHeight="1">
      <c r="G855" s="22"/>
    </row>
    <row r="856" ht="16.5" customHeight="1">
      <c r="G856" s="22"/>
    </row>
    <row r="857" ht="16.5" customHeight="1">
      <c r="G857" s="22"/>
    </row>
    <row r="858" ht="16.5" customHeight="1">
      <c r="G858" s="22"/>
    </row>
    <row r="859" ht="16.5" customHeight="1">
      <c r="G859" s="22"/>
    </row>
    <row r="860" ht="16.5" customHeight="1">
      <c r="G860" s="22"/>
    </row>
    <row r="861" ht="16.5" customHeight="1">
      <c r="G861" s="22"/>
    </row>
    <row r="862" ht="16.5" customHeight="1">
      <c r="G862" s="22"/>
    </row>
    <row r="863" ht="16.5" customHeight="1">
      <c r="G863" s="22"/>
    </row>
    <row r="864" ht="16.5" customHeight="1">
      <c r="G864" s="22"/>
    </row>
    <row r="865" ht="16.5" customHeight="1">
      <c r="G865" s="22"/>
    </row>
    <row r="866" ht="16.5" customHeight="1">
      <c r="G866" s="22"/>
    </row>
    <row r="867" ht="16.5" customHeight="1">
      <c r="G867" s="22"/>
    </row>
    <row r="868" ht="16.5" customHeight="1">
      <c r="G868" s="22"/>
    </row>
    <row r="869" ht="16.5" customHeight="1">
      <c r="G869" s="22"/>
    </row>
    <row r="870" ht="16.5" customHeight="1">
      <c r="G870" s="22"/>
    </row>
    <row r="871" ht="16.5" customHeight="1">
      <c r="G871" s="22"/>
    </row>
    <row r="872" ht="16.5" customHeight="1">
      <c r="G872" s="22"/>
    </row>
    <row r="873" ht="16.5" customHeight="1">
      <c r="G873" s="22"/>
    </row>
    <row r="874" ht="16.5" customHeight="1">
      <c r="G874" s="22"/>
    </row>
    <row r="875" ht="16.5" customHeight="1">
      <c r="G875" s="22"/>
    </row>
    <row r="876" ht="16.5" customHeight="1">
      <c r="G876" s="22"/>
    </row>
    <row r="877" ht="16.5" customHeight="1">
      <c r="G877" s="22"/>
    </row>
    <row r="878" ht="16.5" customHeight="1">
      <c r="G878" s="22"/>
    </row>
    <row r="879" ht="16.5" customHeight="1">
      <c r="G879" s="22"/>
    </row>
    <row r="880" ht="16.5" customHeight="1">
      <c r="G880" s="22"/>
    </row>
    <row r="881" ht="16.5" customHeight="1">
      <c r="G881" s="22"/>
    </row>
    <row r="882" ht="16.5" customHeight="1">
      <c r="G882" s="22"/>
    </row>
    <row r="883" ht="16.5" customHeight="1">
      <c r="G883" s="22"/>
    </row>
    <row r="884" ht="16.5" customHeight="1">
      <c r="G884" s="22"/>
    </row>
    <row r="885" ht="16.5" customHeight="1">
      <c r="G885" s="22"/>
    </row>
    <row r="886" ht="16.5" customHeight="1">
      <c r="G886" s="22"/>
    </row>
    <row r="887" ht="16.5" customHeight="1">
      <c r="G887" s="22"/>
    </row>
    <row r="888" ht="16.5" customHeight="1">
      <c r="G888" s="22"/>
    </row>
    <row r="889" ht="16.5" customHeight="1">
      <c r="G889" s="22"/>
    </row>
    <row r="890" ht="16.5" customHeight="1">
      <c r="G890" s="22"/>
    </row>
    <row r="891" ht="16.5" customHeight="1">
      <c r="G891" s="22"/>
    </row>
    <row r="892" ht="16.5" customHeight="1">
      <c r="G892" s="22"/>
    </row>
    <row r="893" ht="16.5" customHeight="1">
      <c r="G893" s="22"/>
    </row>
    <row r="894" ht="16.5" customHeight="1">
      <c r="G894" s="22"/>
    </row>
    <row r="895" ht="16.5" customHeight="1">
      <c r="G895" s="22"/>
    </row>
    <row r="896" ht="16.5" customHeight="1">
      <c r="G896" s="22"/>
    </row>
    <row r="897" ht="16.5" customHeight="1">
      <c r="G897" s="22"/>
    </row>
    <row r="898" ht="16.5" customHeight="1">
      <c r="G898" s="22"/>
    </row>
    <row r="899" ht="16.5" customHeight="1">
      <c r="G899" s="22"/>
    </row>
    <row r="900" ht="16.5" customHeight="1">
      <c r="G900" s="22"/>
    </row>
    <row r="901" ht="16.5" customHeight="1">
      <c r="G901" s="22"/>
    </row>
    <row r="902" ht="16.5" customHeight="1">
      <c r="G902" s="22"/>
    </row>
    <row r="903" ht="16.5" customHeight="1">
      <c r="G903" s="22"/>
    </row>
    <row r="904" ht="16.5" customHeight="1">
      <c r="G904" s="22"/>
    </row>
    <row r="905" ht="16.5" customHeight="1">
      <c r="G905" s="22"/>
    </row>
    <row r="906" ht="16.5" customHeight="1">
      <c r="G906" s="22"/>
    </row>
    <row r="907" ht="16.5" customHeight="1">
      <c r="G907" s="22"/>
    </row>
    <row r="908" ht="16.5" customHeight="1">
      <c r="G908" s="22"/>
    </row>
    <row r="909" ht="16.5" customHeight="1">
      <c r="G909" s="22"/>
    </row>
    <row r="910" ht="16.5" customHeight="1">
      <c r="G910" s="22"/>
    </row>
    <row r="911" ht="16.5" customHeight="1">
      <c r="G911" s="22"/>
    </row>
    <row r="912" ht="16.5" customHeight="1">
      <c r="G912" s="22"/>
    </row>
    <row r="913" ht="16.5" customHeight="1">
      <c r="G913" s="22"/>
    </row>
    <row r="914" ht="16.5" customHeight="1">
      <c r="G914" s="22"/>
    </row>
    <row r="915" ht="16.5" customHeight="1">
      <c r="G915" s="22"/>
    </row>
    <row r="916" ht="16.5" customHeight="1">
      <c r="G916" s="22"/>
    </row>
    <row r="917" ht="16.5" customHeight="1">
      <c r="G917" s="22"/>
    </row>
    <row r="918" ht="16.5" customHeight="1">
      <c r="G918" s="22"/>
    </row>
    <row r="919" ht="16.5" customHeight="1">
      <c r="G919" s="22"/>
    </row>
    <row r="920" ht="16.5" customHeight="1">
      <c r="G920" s="22"/>
    </row>
    <row r="921" ht="16.5" customHeight="1">
      <c r="G921" s="22"/>
    </row>
    <row r="922" ht="16.5" customHeight="1">
      <c r="G922" s="22"/>
    </row>
    <row r="923" ht="16.5" customHeight="1">
      <c r="G923" s="22"/>
    </row>
    <row r="924" ht="16.5" customHeight="1">
      <c r="G924" s="22"/>
    </row>
    <row r="925" ht="16.5" customHeight="1">
      <c r="G925" s="22"/>
    </row>
    <row r="926" ht="16.5" customHeight="1">
      <c r="G926" s="22"/>
    </row>
    <row r="927" ht="16.5" customHeight="1">
      <c r="G927" s="22"/>
    </row>
    <row r="928" ht="16.5" customHeight="1">
      <c r="G928" s="22"/>
    </row>
    <row r="929" ht="16.5" customHeight="1">
      <c r="G929" s="22"/>
    </row>
    <row r="930" ht="16.5" customHeight="1">
      <c r="G930" s="22"/>
    </row>
    <row r="931" ht="16.5" customHeight="1">
      <c r="G931" s="22"/>
    </row>
    <row r="932" ht="16.5" customHeight="1">
      <c r="G932" s="22"/>
    </row>
    <row r="933" ht="16.5" customHeight="1">
      <c r="G933" s="22"/>
    </row>
    <row r="934" ht="16.5" customHeight="1">
      <c r="G934" s="22"/>
    </row>
    <row r="935" ht="16.5" customHeight="1">
      <c r="G935" s="22"/>
    </row>
    <row r="936" ht="16.5" customHeight="1">
      <c r="G936" s="22"/>
    </row>
    <row r="937" ht="16.5" customHeight="1">
      <c r="G937" s="22"/>
    </row>
    <row r="938" ht="16.5" customHeight="1">
      <c r="G938" s="22"/>
    </row>
    <row r="939" ht="16.5" customHeight="1">
      <c r="G939" s="22"/>
    </row>
    <row r="940" ht="16.5" customHeight="1">
      <c r="G940" s="22"/>
    </row>
    <row r="941" ht="16.5" customHeight="1">
      <c r="G941" s="22"/>
    </row>
    <row r="942" ht="16.5" customHeight="1">
      <c r="G942" s="22"/>
    </row>
    <row r="943" ht="16.5" customHeight="1">
      <c r="G943" s="22"/>
    </row>
    <row r="944" ht="16.5" customHeight="1">
      <c r="G944" s="22"/>
    </row>
    <row r="945" ht="16.5" customHeight="1">
      <c r="G945" s="22"/>
    </row>
    <row r="946" ht="16.5" customHeight="1">
      <c r="G946" s="22"/>
    </row>
    <row r="947" ht="16.5" customHeight="1">
      <c r="G947" s="22"/>
    </row>
    <row r="948" ht="16.5" customHeight="1">
      <c r="G948" s="22"/>
    </row>
    <row r="949" ht="16.5" customHeight="1">
      <c r="G949" s="22"/>
    </row>
    <row r="950" ht="16.5" customHeight="1">
      <c r="G950" s="22"/>
    </row>
    <row r="951" ht="16.5" customHeight="1">
      <c r="G951" s="22"/>
    </row>
    <row r="952" ht="16.5" customHeight="1">
      <c r="G952" s="22"/>
    </row>
    <row r="953" ht="16.5" customHeight="1">
      <c r="G953" s="22"/>
    </row>
    <row r="954" ht="16.5" customHeight="1">
      <c r="G954" s="22"/>
    </row>
    <row r="955" ht="16.5" customHeight="1">
      <c r="G955" s="22"/>
    </row>
    <row r="956" ht="16.5" customHeight="1">
      <c r="G956" s="22"/>
    </row>
    <row r="957" ht="16.5" customHeight="1">
      <c r="G957" s="22"/>
    </row>
    <row r="958" ht="16.5" customHeight="1">
      <c r="G958" s="22"/>
    </row>
    <row r="959" ht="16.5" customHeight="1">
      <c r="G959" s="22"/>
    </row>
    <row r="960" ht="16.5" customHeight="1">
      <c r="G960" s="22"/>
    </row>
    <row r="961" ht="16.5" customHeight="1">
      <c r="G961" s="22"/>
    </row>
    <row r="962" ht="16.5" customHeight="1">
      <c r="G962" s="22"/>
    </row>
    <row r="963" ht="16.5" customHeight="1">
      <c r="G963" s="22"/>
    </row>
    <row r="964" ht="16.5" customHeight="1">
      <c r="G964" s="22"/>
    </row>
    <row r="965" ht="16.5" customHeight="1">
      <c r="G965" s="22"/>
    </row>
    <row r="966" ht="16.5" customHeight="1">
      <c r="G966" s="22"/>
    </row>
    <row r="967" ht="16.5" customHeight="1">
      <c r="G967" s="22"/>
    </row>
    <row r="968" ht="16.5" customHeight="1">
      <c r="G968" s="22"/>
    </row>
    <row r="969" ht="16.5" customHeight="1">
      <c r="G969" s="22"/>
    </row>
    <row r="970" ht="16.5" customHeight="1">
      <c r="G970" s="22"/>
    </row>
    <row r="971" ht="16.5" customHeight="1">
      <c r="G971" s="22"/>
    </row>
    <row r="972" ht="16.5" customHeight="1">
      <c r="G972" s="22"/>
    </row>
    <row r="973" ht="16.5" customHeight="1">
      <c r="G973" s="22"/>
    </row>
    <row r="974" ht="16.5" customHeight="1">
      <c r="G974" s="22"/>
    </row>
    <row r="975" ht="16.5" customHeight="1">
      <c r="G975" s="22"/>
    </row>
    <row r="976" ht="16.5" customHeight="1">
      <c r="G976" s="22"/>
    </row>
    <row r="977" ht="16.5" customHeight="1">
      <c r="G977" s="22"/>
    </row>
    <row r="978" ht="16.5" customHeight="1">
      <c r="G978" s="22"/>
    </row>
    <row r="979" ht="16.5" customHeight="1">
      <c r="G979" s="22"/>
    </row>
    <row r="980" ht="16.5" customHeight="1">
      <c r="G980" s="22"/>
    </row>
    <row r="981" ht="16.5" customHeight="1">
      <c r="G981" s="22"/>
    </row>
    <row r="982" ht="16.5" customHeight="1">
      <c r="G982" s="22"/>
    </row>
    <row r="983" ht="16.5" customHeight="1">
      <c r="G983" s="22"/>
    </row>
    <row r="984" ht="16.5" customHeight="1">
      <c r="G984" s="22"/>
    </row>
    <row r="985" ht="16.5" customHeight="1">
      <c r="G985" s="22"/>
    </row>
    <row r="986" ht="16.5" customHeight="1">
      <c r="G986" s="22"/>
    </row>
    <row r="987" ht="16.5" customHeight="1">
      <c r="G987" s="22"/>
    </row>
    <row r="988" ht="16.5" customHeight="1">
      <c r="G988" s="22"/>
    </row>
    <row r="989" ht="16.5" customHeight="1">
      <c r="G989" s="22"/>
    </row>
    <row r="990" ht="16.5" customHeight="1">
      <c r="G990" s="22"/>
    </row>
    <row r="991" ht="16.5" customHeight="1">
      <c r="G991" s="22"/>
    </row>
    <row r="992" ht="16.5" customHeight="1">
      <c r="G992" s="22"/>
    </row>
    <row r="993" ht="16.5" customHeight="1">
      <c r="G993" s="22"/>
    </row>
    <row r="994" ht="16.5" customHeight="1">
      <c r="G994" s="22"/>
    </row>
    <row r="995" ht="16.5" customHeight="1">
      <c r="G995" s="22"/>
    </row>
    <row r="996" ht="16.5" customHeight="1">
      <c r="G996" s="22"/>
    </row>
    <row r="997" ht="16.5" customHeight="1">
      <c r="G997" s="22"/>
    </row>
    <row r="998" ht="16.5" customHeight="1">
      <c r="G998" s="22"/>
    </row>
    <row r="999" ht="16.5" customHeight="1">
      <c r="G999" s="22"/>
    </row>
    <row r="1000" ht="16.5" customHeight="1">
      <c r="G1000" s="22"/>
    </row>
  </sheetData>
  <printOptions/>
  <pageMargins bottom="0.75" footer="0.0" header="0.0" left="0.7" right="0.7" top="0.75"/>
  <pageSetup paperSize="9" orientation="portrait"/>
  <drawing r:id="rId1"/>
</worksheet>
</file>