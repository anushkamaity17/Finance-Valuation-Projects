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ve Cs" sheetId="1" r:id="rId5"/>
    <sheet state="visible" name="Risk Premium" sheetId="2" r:id="rId6"/>
    <sheet state="visible" name="Altman Score" sheetId="3" r:id="rId7"/>
    <sheet state="visible" name="KMV model" sheetId="4" r:id="rId8"/>
    <sheet state="hidden" name="Amcor USD Fin stmnt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9">
      <text>
        <t xml:space="preserve">https://companiesmarketcap.com/gbp/amcor/shares-outstanding/
(as of May 2025)
</t>
      </text>
    </comment>
    <comment authorId="0" ref="J38">
      <text>
        <t xml:space="preserve">as on 16th May 2025(NASDAQ)
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https://stockanalysis.com/stocks/amcr/financials/ratios/
(S&amp;P Global)</t>
      </text>
    </comment>
  </commentList>
</comments>
</file>

<file path=xl/sharedStrings.xml><?xml version="1.0" encoding="utf-8"?>
<sst xmlns="http://schemas.openxmlformats.org/spreadsheetml/2006/main" count="854" uniqueCount="509">
  <si>
    <t xml:space="preserve">Table 1. Amcor Plc Balance Sheet </t>
  </si>
  <si>
    <t>Table 1. Firm's Bond Rating</t>
  </si>
  <si>
    <t>Source: NASDAQ</t>
  </si>
  <si>
    <t>Table 2A. Bond's Rating and Annual Returns</t>
  </si>
  <si>
    <t>Daily Historical Prices (2024-2025)</t>
  </si>
  <si>
    <t>Years</t>
  </si>
  <si>
    <t>Firm name</t>
  </si>
  <si>
    <t>Amcor Plc</t>
  </si>
  <si>
    <t>Table 1</t>
  </si>
  <si>
    <t>Rating (S&amp;P)</t>
  </si>
  <si>
    <t>Current assets:</t>
  </si>
  <si>
    <t>BBB</t>
  </si>
  <si>
    <t>Date</t>
  </si>
  <si>
    <t>Adj Close</t>
  </si>
  <si>
    <t>1-year</t>
  </si>
  <si>
    <t>Daily Return</t>
  </si>
  <si>
    <t>2-year</t>
  </si>
  <si>
    <t>3-year</t>
  </si>
  <si>
    <t>Cash and cash equivalents</t>
  </si>
  <si>
    <t>4-year</t>
  </si>
  <si>
    <t xml:space="preserve"> Firm's Information Needed for KMV calculations</t>
  </si>
  <si>
    <t>5-year</t>
  </si>
  <si>
    <t>(in USD $millions)</t>
  </si>
  <si>
    <t xml:space="preserve">Table 2. Expected Default Frequency table </t>
  </si>
  <si>
    <t>AAA</t>
  </si>
  <si>
    <t>05/16/2025</t>
  </si>
  <si>
    <t xml:space="preserve">Trade receivables, </t>
  </si>
  <si>
    <t>Raw materials and supplies</t>
  </si>
  <si>
    <t>-</t>
  </si>
  <si>
    <t>AA</t>
  </si>
  <si>
    <t>Work in process and finished goods</t>
  </si>
  <si>
    <t>Table 3. Firm's Expected Repayment Probability</t>
  </si>
  <si>
    <t>Inventories, net</t>
  </si>
  <si>
    <t>A</t>
  </si>
  <si>
    <t>Market value of Equity (E)</t>
  </si>
  <si>
    <t>Prepaid expenses and other current assets</t>
  </si>
  <si>
    <t>Total current assets</t>
  </si>
  <si>
    <t>DD</t>
  </si>
  <si>
    <t>EDF</t>
  </si>
  <si>
    <t>Non-current assets:</t>
  </si>
  <si>
    <t>05/15/2025</t>
  </si>
  <si>
    <t>Property, plant, and equipment, net</t>
  </si>
  <si>
    <t>Book Value of Liabilities (D)</t>
  </si>
  <si>
    <t>Operating Lease, Right-of-Use Asset</t>
  </si>
  <si>
    <t>Deferred tax assets</t>
  </si>
  <si>
    <t>Other intangible assets, net</t>
  </si>
  <si>
    <t>05/14/2025</t>
  </si>
  <si>
    <t>Daily Volatility</t>
  </si>
  <si>
    <t>Goodwill</t>
  </si>
  <si>
    <t>Employee benefit assets</t>
  </si>
  <si>
    <t>Other non-current assets</t>
  </si>
  <si>
    <t>BB</t>
  </si>
  <si>
    <t>Market Value of Assets (V)</t>
  </si>
  <si>
    <t>Total non-current assets</t>
  </si>
  <si>
    <t>B</t>
  </si>
  <si>
    <t>Total assets</t>
  </si>
  <si>
    <t>05/13/2025</t>
  </si>
  <si>
    <t>Current liabilities:</t>
  </si>
  <si>
    <t>CCC</t>
  </si>
  <si>
    <t>Annualised Volatility</t>
  </si>
  <si>
    <t>Current portion of long-term debt</t>
  </si>
  <si>
    <t>Table A. Firm's Expected Default Probability</t>
  </si>
  <si>
    <t>Short-term debt</t>
  </si>
  <si>
    <t>Volatility of Equity (σe)</t>
  </si>
  <si>
    <t>CC</t>
  </si>
  <si>
    <t>Trade payables</t>
  </si>
  <si>
    <t>Accrued employee costs</t>
  </si>
  <si>
    <t>Volatility of Assets (σa)</t>
  </si>
  <si>
    <t>Other current liabilities</t>
  </si>
  <si>
    <t>Amcor (BBB)</t>
  </si>
  <si>
    <t>Total current liabilities</t>
  </si>
  <si>
    <t>Non-current liabilities:</t>
  </si>
  <si>
    <t>Current Liability</t>
  </si>
  <si>
    <t>Long-term debt, less current portion</t>
  </si>
  <si>
    <t>(FY 2024)</t>
  </si>
  <si>
    <t>Operating lease liabilities</t>
  </si>
  <si>
    <t>Table 2B. Government bond yields with different maturities</t>
  </si>
  <si>
    <t>Variables</t>
  </si>
  <si>
    <t>Long-term Liability</t>
  </si>
  <si>
    <t>Value $million</t>
  </si>
  <si>
    <t>X1 = Working Capital / Total Assets</t>
  </si>
  <si>
    <t>Deferred tax liabilities</t>
  </si>
  <si>
    <t>Payout Ratio</t>
  </si>
  <si>
    <t>Working Capital (CA-CL)</t>
  </si>
  <si>
    <t>X2 = Retained Earnings / Total Assets</t>
  </si>
  <si>
    <t>Retention Ratio</t>
  </si>
  <si>
    <t>Maturity</t>
  </si>
  <si>
    <t>Employee benefit obligations</t>
  </si>
  <si>
    <t>Retained Earnings</t>
  </si>
  <si>
    <t>Cumulative Default Probability</t>
  </si>
  <si>
    <t>Return on Equity (ROE)</t>
  </si>
  <si>
    <t>X3 = EBIT / Total Assets</t>
  </si>
  <si>
    <t>Returns</t>
  </si>
  <si>
    <t>Growth Rate (g)</t>
  </si>
  <si>
    <t>Other non-current liabilities</t>
  </si>
  <si>
    <t>Earnings before interest and Taxes</t>
  </si>
  <si>
    <t>X4 = Market Value of Equity / Total Liabilities</t>
  </si>
  <si>
    <t>Total non-current liabilities</t>
  </si>
  <si>
    <t>Market Value of Equity</t>
  </si>
  <si>
    <t>X5 = Sales / Total Assets</t>
  </si>
  <si>
    <t>04/30/2025</t>
  </si>
  <si>
    <t>Total liabilities</t>
  </si>
  <si>
    <t>Sales</t>
  </si>
  <si>
    <t>04/29/2025</t>
  </si>
  <si>
    <t>Commitments and contingencies (See Note $19)</t>
  </si>
  <si>
    <t>Total Asset</t>
  </si>
  <si>
    <t>04/28/2025</t>
  </si>
  <si>
    <t>Z-Score Range</t>
  </si>
  <si>
    <t>04/25/2025</t>
  </si>
  <si>
    <t>Zone</t>
  </si>
  <si>
    <t>04/24/2025</t>
  </si>
  <si>
    <t>Amcor plc shareholders’ equity:</t>
  </si>
  <si>
    <t>04/23/2025</t>
  </si>
  <si>
    <t>Book Value of Total Liabilities</t>
  </si>
  <si>
    <t>Table A. Amcor Plc's EDF</t>
  </si>
  <si>
    <t>Z &gt; 2.99</t>
  </si>
  <si>
    <t>Safe Zone -&gt; Low risk of bankruptcy; strong financial health</t>
  </si>
  <si>
    <t>04/22/2025</t>
  </si>
  <si>
    <t>Issued (1,445 and 1,448 million shares, respectively)</t>
  </si>
  <si>
    <t>04/21/2025</t>
  </si>
  <si>
    <t>Share Price</t>
  </si>
  <si>
    <t xml:space="preserve">1. Expected Market Value of Assets </t>
  </si>
  <si>
    <t>1.81 &lt; Z &lt; 2.99</t>
  </si>
  <si>
    <t>Grey Zone -&gt; Moderate risk; uncertain financial condition</t>
  </si>
  <si>
    <t>Additional paid-in capital</t>
  </si>
  <si>
    <t xml:space="preserve">Shares Outstanding </t>
  </si>
  <si>
    <t>Z &lt; 1.81</t>
  </si>
  <si>
    <t>Distress Zone -&gt; High risk of financial distress or bankruptcy</t>
  </si>
  <si>
    <t>04/17/2025</t>
  </si>
  <si>
    <t>2. Standard deviations of Assets</t>
  </si>
  <si>
    <t>Retained earnings</t>
  </si>
  <si>
    <t>Accumulated other comprehensive loss</t>
  </si>
  <si>
    <t>04/16/2025</t>
  </si>
  <si>
    <t>3. Default Point</t>
  </si>
  <si>
    <t>Treasury shares (1 and 1 million shares, respectively)</t>
  </si>
  <si>
    <t>Total Amcor plc shareholders' equity</t>
  </si>
  <si>
    <t>Table 2. Amcor Plc's Altman Z-Score</t>
  </si>
  <si>
    <t>Non-controlling interests</t>
  </si>
  <si>
    <t>X1</t>
  </si>
  <si>
    <t>X2</t>
  </si>
  <si>
    <t>X3</t>
  </si>
  <si>
    <t>X4</t>
  </si>
  <si>
    <t>X5</t>
  </si>
  <si>
    <t>Total shareholders' equity</t>
  </si>
  <si>
    <t>04/15/2025</t>
  </si>
  <si>
    <t>4. DD</t>
  </si>
  <si>
    <t>04/14/2025</t>
  </si>
  <si>
    <t>5. EDF</t>
  </si>
  <si>
    <t>Total liabilities and shareholders' equity</t>
  </si>
  <si>
    <t>Z score formula:</t>
  </si>
  <si>
    <t>1.2 * (X1) + 1.4 * (X2) +3.3 * (X3) +0.6 * (X4) +1.0 * (X5)</t>
  </si>
  <si>
    <t>The Z Score:</t>
  </si>
  <si>
    <r>
      <rPr>
        <rFont val="Times New Roman"/>
        <color theme="1"/>
        <sz val="12.0"/>
      </rPr>
      <t xml:space="preserve">Since </t>
    </r>
    <r>
      <rPr>
        <rFont val="Times New Roman"/>
        <b/>
        <color rgb="FFFF0000"/>
        <sz val="12.0"/>
      </rPr>
      <t>1.844</t>
    </r>
    <r>
      <rPr>
        <rFont val="Times New Roman"/>
        <color theme="1"/>
        <sz val="12.0"/>
      </rPr>
      <t xml:space="preserve"> comes in between 1.81 and 2.99 (1.81&lt;1.844&lt;2.99) , Amcor Plc falls in the </t>
    </r>
    <r>
      <rPr>
        <rFont val="Times New Roman"/>
        <color rgb="FFFF0000"/>
        <sz val="12.0"/>
      </rPr>
      <t>grey zone</t>
    </r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</si>
  <si>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</si>
  <si>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</si>
  <si>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</si>
  <si>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</si>
  <si>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</si>
  <si>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</si>
  <si>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</si>
  <si>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</si>
  <si>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</si>
  <si>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</si>
  <si>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</si>
  <si>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</si>
  <si>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</si>
  <si>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</si>
  <si>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</si>
  <si>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</si>
  <si>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</si>
  <si>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</si>
  <si>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</si>
  <si>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</si>
  <si>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</si>
  <si>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</si>
  <si>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</si>
  <si>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</si>
  <si>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</si>
  <si>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</si>
  <si>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</si>
  <si>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</si>
  <si>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</si>
  <si>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</si>
  <si>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</si>
  <si>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</si>
  <si>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</si>
  <si>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</si>
  <si>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</si>
  <si>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</si>
  <si>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</si>
  <si>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</si>
  <si>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</si>
  <si>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</si>
  <si>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</si>
  <si>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</si>
  <si>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</si>
  <si>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</si>
  <si>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</si>
  <si>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</si>
  <si>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</si>
  <si>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</si>
  <si>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</si>
  <si>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</si>
  <si>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Source: 10-K report (USD in $millions)</t>
  </si>
  <si>
    <t>Source: 10-K Report (USD in $millions)</t>
  </si>
  <si>
    <t>11/29/2024</t>
  </si>
  <si>
    <t>11/27/2024</t>
  </si>
  <si>
    <t>Source: 10-K Report (USD in $thousands)</t>
  </si>
  <si>
    <t>11/26/2024</t>
  </si>
  <si>
    <t>11/25/2024</t>
  </si>
  <si>
    <t>Table2. Amcor Plc Income Sheet</t>
  </si>
  <si>
    <t>11/22/2024</t>
  </si>
  <si>
    <t>Table 3.  Berry Global Group's Balance sheet</t>
  </si>
  <si>
    <t>11/21/2024</t>
  </si>
  <si>
    <t>11/20/2024</t>
  </si>
  <si>
    <t>Table 4.  Berry Global Group's Income sheet</t>
  </si>
  <si>
    <t>11/19/2024</t>
  </si>
  <si>
    <t>Table 5. Sealed Air Corporation's Income Statement</t>
  </si>
  <si>
    <t>Table 6. Sealed Air Corporation's Balance Sheet</t>
  </si>
  <si>
    <t>11/18/2024</t>
  </si>
  <si>
    <t>Table 7. Sonoco Products Company's Income Statement</t>
  </si>
  <si>
    <t>11/15/2024</t>
  </si>
  <si>
    <t>Table 8. Sonoco Products Company's Balance Sheet</t>
  </si>
  <si>
    <t>11/14/2024</t>
  </si>
  <si>
    <t>11/13/2024</t>
  </si>
  <si>
    <t>Net sales</t>
  </si>
  <si>
    <t>Net Sales</t>
  </si>
  <si>
    <t>Current Assets:</t>
  </si>
  <si>
    <t>10/31/2024</t>
  </si>
  <si>
    <t>Cost of sales</t>
  </si>
  <si>
    <t>10/30/2024</t>
  </si>
  <si>
    <t>10/29/2024</t>
  </si>
  <si>
    <t>Costs and expenses:</t>
  </si>
  <si>
    <t> </t>
  </si>
  <si>
    <t>10/28/2024</t>
  </si>
  <si>
    <t>10/25/2024</t>
  </si>
  <si>
    <t>10/24/2024</t>
  </si>
  <si>
    <t>10/23/2024</t>
  </si>
  <si>
    <t>Gross profit</t>
  </si>
  <si>
    <t>Accounts receivable</t>
  </si>
  <si>
    <t>Cost of goods sold</t>
  </si>
  <si>
    <t>10/22/2024</t>
  </si>
  <si>
    <t>Trade accounts receivable</t>
  </si>
  <si>
    <t>10/21/2024</t>
  </si>
  <si>
    <t>Operating Expenses:</t>
  </si>
  <si>
    <t>10/18/2024</t>
  </si>
  <si>
    <t>Inventories</t>
  </si>
  <si>
    <t>Selling, general and administrative</t>
  </si>
  <si>
    <t>Selling, general and administrative expenses</t>
  </si>
  <si>
    <t>10/17/2024</t>
  </si>
  <si>
    <t>Income tax receivables</t>
  </si>
  <si>
    <t>Other receivables</t>
  </si>
  <si>
    <t>10/16/2024</t>
  </si>
  <si>
    <t>Selling, general, and administrative expenses</t>
  </si>
  <si>
    <t>10/15/2024</t>
  </si>
  <si>
    <t>Amortization of intangibles</t>
  </si>
  <si>
    <t>(Loss) Gain on disposal and sale of businesses and property and equipment, net</t>
  </si>
  <si>
    <t>10/14/2024</t>
  </si>
  <si>
    <t>Restructuring/Asset impairment charges</t>
  </si>
  <si>
    <t>Inventories:</t>
  </si>
  <si>
    <t>Research and development expenses</t>
  </si>
  <si>
    <t>Business consolidation and other activities</t>
  </si>
  <si>
    <t>Amortization expense of intangible assets</t>
  </si>
  <si>
    <t>Advances and deposits</t>
  </si>
  <si>
    <t>(Loss)/Gain on divestiture of business and other assets</t>
  </si>
  <si>
    <t>Finished and in process</t>
  </si>
  <si>
    <t>Restructuring, impairment, and other related activities, net</t>
  </si>
  <si>
    <t>Property, plant and equipment</t>
  </si>
  <si>
    <t>Operating income</t>
  </si>
  <si>
    <t>Restructuring charges (Note 13)</t>
  </si>
  <si>
    <t>Inventories,</t>
  </si>
  <si>
    <t>Operating profit</t>
  </si>
  <si>
    <t>Materials and supplies</t>
  </si>
  <si>
    <t>Other income/(expenses), net</t>
  </si>
  <si>
    <t>Goodwill and intangible assets</t>
  </si>
  <si>
    <t>Other expense</t>
  </si>
  <si>
    <t>Other (expenses)/income, net</t>
  </si>
  <si>
    <t>09/30/2024</t>
  </si>
  <si>
    <t>Prepaid expenses</t>
  </si>
  <si>
    <t>Right-of-use assets</t>
  </si>
  <si>
    <t>Interest expense</t>
  </si>
  <si>
    <t>Interest expense, net</t>
  </si>
  <si>
    <t>09/27/2024</t>
  </si>
  <si>
    <t>Non-operating pension costs</t>
  </si>
  <si>
    <t>Current assets of discontinued operations</t>
  </si>
  <si>
    <t>09/26/2024</t>
  </si>
  <si>
    <t>Interest income</t>
  </si>
  <si>
    <t>Other assets</t>
  </si>
  <si>
    <t>Income before income taxes</t>
  </si>
  <si>
    <t>09/25/2024</t>
  </si>
  <si>
    <t>Other expense, net (Note 24)</t>
  </si>
  <si>
    <t>Property and equipment, net (Note 8)</t>
  </si>
  <si>
    <t>Total Current Assets</t>
  </si>
  <si>
    <t>09/24/2024</t>
  </si>
  <si>
    <t>09/23/2024</t>
  </si>
  <si>
    <t>Income tax expense</t>
  </si>
  <si>
    <t>09/20/2024</t>
  </si>
  <si>
    <t>Earnings before income tax provision</t>
  </si>
  <si>
    <t>Goodwill (Note 9)</t>
  </si>
  <si>
    <t>09/19/2024</t>
  </si>
  <si>
    <t>Property, Plant and Equipment, Net</t>
  </si>
  <si>
    <t>Other non-operating income, net</t>
  </si>
  <si>
    <t>09/18/2024</t>
  </si>
  <si>
    <t>Net income</t>
  </si>
  <si>
    <t>09/17/2024</t>
  </si>
  <si>
    <t>Income tax provision (Note 20)</t>
  </si>
  <si>
    <t>Identifiable intangible assets, net (Note 9)</t>
  </si>
  <si>
    <t>Income from continuing operations before income taxes</t>
  </si>
  <si>
    <t>09/16/2024</t>
  </si>
  <si>
    <t xml:space="preserve">Income before income taxes and equity in loss </t>
  </si>
  <si>
    <t>09/13/2024</t>
  </si>
  <si>
    <t>Accounts payable</t>
  </si>
  <si>
    <t>Net income per share ):</t>
  </si>
  <si>
    <t>Net earnings from continuing operations</t>
  </si>
  <si>
    <t>Deferred taxes</t>
  </si>
  <si>
    <t>Provision for income taxes</t>
  </si>
  <si>
    <t>Other Intangible Assets, Net</t>
  </si>
  <si>
    <t>Basic (in dollars per share)</t>
  </si>
  <si>
    <t>(Loss) Gain on sale of discontinued operations, net of tax</t>
  </si>
  <si>
    <t>Non-current assets held for sale</t>
  </si>
  <si>
    <t>Income before equity in earnings of affiliates</t>
  </si>
  <si>
    <t>Long-term Deferred Income Taxes</t>
  </si>
  <si>
    <t>Equity in loss of affiliated companies, net of tax</t>
  </si>
  <si>
    <t>Diluted (in dollars per share)</t>
  </si>
  <si>
    <t>Net earnings</t>
  </si>
  <si>
    <t>Operating lease right-of-use-assets (Note 4)</t>
  </si>
  <si>
    <t>Equity in earnings of affiliates, net of tax</t>
  </si>
  <si>
    <t>08/30/2024</t>
  </si>
  <si>
    <t>Right of Use Asset-Operating Leases</t>
  </si>
  <si>
    <t>08/29/2024</t>
  </si>
  <si>
    <t>Basic:</t>
  </si>
  <si>
    <t>08/28/2024</t>
  </si>
  <si>
    <t>Net income from continuing operations</t>
  </si>
  <si>
    <t>Other Assets</t>
  </si>
  <si>
    <t>08/27/2024</t>
  </si>
  <si>
    <t>Net income attributable to non-controlling interests</t>
  </si>
  <si>
    <t>08/26/2024</t>
  </si>
  <si>
    <t>Continuing operations (in dollars per share)</t>
  </si>
  <si>
    <t>08/23/2024</t>
  </si>
  <si>
    <t>Net income from discontinued operations</t>
  </si>
  <si>
    <t>Non-current assets of discontinued operations</t>
  </si>
  <si>
    <t>08/22/2024</t>
  </si>
  <si>
    <t>Net income attributable to Amcor plc</t>
  </si>
  <si>
    <t>08/21/2024</t>
  </si>
  <si>
    <t>Long-term debt</t>
  </si>
  <si>
    <t>08/20/2024</t>
  </si>
  <si>
    <t>Discontinued operations (in dollars per share)</t>
  </si>
  <si>
    <t>08/19/2024</t>
  </si>
  <si>
    <t>Total Assets</t>
  </si>
  <si>
    <t>08/16/2024</t>
  </si>
  <si>
    <t>Basic earnings per share:</t>
  </si>
  <si>
    <t>Deferred income taxes</t>
  </si>
  <si>
    <t>08/15/2024</t>
  </si>
  <si>
    <t>Net earnings per common share - basic (in dollars per share)</t>
  </si>
  <si>
    <t>Short-term borrowings (Note 15)</t>
  </si>
  <si>
    <t>Net loss/(income) from continuing operations attributable to noncontrolling interests</t>
  </si>
  <si>
    <t>Current Liabilities</t>
  </si>
  <si>
    <t>08/14/2024</t>
  </si>
  <si>
    <t>Basic earnings per share (in USD per share)</t>
  </si>
  <si>
    <t>$ 0.604</t>
  </si>
  <si>
    <t>$ 0.532</t>
  </si>
  <si>
    <t>$ 0.709</t>
  </si>
  <si>
    <t>$ 0.505</t>
  </si>
  <si>
    <t>08/13/2024</t>
  </si>
  <si>
    <t>Diluted:</t>
  </si>
  <si>
    <t>Current portion of long-term debt (Note 15)</t>
  </si>
  <si>
    <t>Net income from discontinued operations attributable to noncontrolling interests</t>
  </si>
  <si>
    <t>Payable to suppliers</t>
  </si>
  <si>
    <t>Diluted earnings per share (in USD per share)</t>
  </si>
  <si>
    <t>$ 0.529</t>
  </si>
  <si>
    <t>$ 0.705</t>
  </si>
  <si>
    <t>Current portion of operating lease liabilities (Note 4)</t>
  </si>
  <si>
    <t>Net income attributable to Sonoco</t>
  </si>
  <si>
    <t>Accrued expenses and other</t>
  </si>
  <si>
    <t>Other long-term liabilities</t>
  </si>
  <si>
    <t>Weighted average common shares outstanding:</t>
  </si>
  <si>
    <t>Accrued wages and other compensation</t>
  </si>
  <si>
    <t>Net earnings per common share - diluted (in dollars per share)</t>
  </si>
  <si>
    <t>Accrued restructuring costs (Note 13)</t>
  </si>
  <si>
    <t>Basic (in shares)</t>
  </si>
  <si>
    <t>Notes payable and current portion of long-term debt</t>
  </si>
  <si>
    <t>07/31/2024</t>
  </si>
  <si>
    <t>Stockholders' equity:</t>
  </si>
  <si>
    <t>07/30/2024</t>
  </si>
  <si>
    <t>Weighted average number of common shares outstanding in millions: (Note 25)</t>
  </si>
  <si>
    <t>07/29/2024</t>
  </si>
  <si>
    <t>Income tax payable</t>
  </si>
  <si>
    <t>Assuming exercise of awards (in shares)</t>
  </si>
  <si>
    <t>Accrued taxes</t>
  </si>
  <si>
    <t>07/26/2024</t>
  </si>
  <si>
    <t>Common stock (115.0 and 115.5 shares issued, respectively)</t>
  </si>
  <si>
    <t>07/25/2024</t>
  </si>
  <si>
    <t>Other current liabilities (Note 14)</t>
  </si>
  <si>
    <t>Diluted (in shares)</t>
  </si>
  <si>
    <t>Current liabilities of discontinued operations</t>
  </si>
  <si>
    <t>07/24/2024</t>
  </si>
  <si>
    <t>07/23/2024</t>
  </si>
  <si>
    <t>07/22/2024</t>
  </si>
  <si>
    <t>Basic earnings per common share:</t>
  </si>
  <si>
    <t>Total Current Liabilities</t>
  </si>
  <si>
    <t>07/19/2024</t>
  </si>
  <si>
    <t>07/18/2024</t>
  </si>
  <si>
    <t>Long-term debt, less current portion (Note 15)</t>
  </si>
  <si>
    <t>Continuing operations (usd per share)</t>
  </si>
  <si>
    <t>Long-term Debt</t>
  </si>
  <si>
    <t>07/17/2024</t>
  </si>
  <si>
    <t>07/16/2024</t>
  </si>
  <si>
    <t>Long-term operating lease liabilities, less current portion (Note 4)</t>
  </si>
  <si>
    <t>Discontinued operations (usd per share)</t>
  </si>
  <si>
    <t>Noncurrent Operating Lease Liabilities</t>
  </si>
  <si>
    <t>07/15/2024</t>
  </si>
  <si>
    <t>Total stockholders' equity</t>
  </si>
  <si>
    <t>Basic earnings per share attributable to Sonoco (usd per share)</t>
  </si>
  <si>
    <t>Pension and Other Postretirement Benefits</t>
  </si>
  <si>
    <t>Total liabilities and stockholders' equity</t>
  </si>
  <si>
    <t>Non-current liabilities held for sale</t>
  </si>
  <si>
    <t>Diluted earnings per common share:</t>
  </si>
  <si>
    <t>Deferred Income Taxes</t>
  </si>
  <si>
    <t>Other non-current liabilities (Note 14)</t>
  </si>
  <si>
    <t>Other Liabilities</t>
  </si>
  <si>
    <t>Diluted - attributable to Sonoco discontinued operations (usd per share)</t>
  </si>
  <si>
    <t>Non-current liabilities of discontinued operations</t>
  </si>
  <si>
    <t>Commitments and contingencies (Note 21)</t>
  </si>
  <si>
    <t xml:space="preserve"> </t>
  </si>
  <si>
    <t>06/28/2024</t>
  </si>
  <si>
    <t>Diluted earnings per share attributable to Sonoco (usd per share)</t>
  </si>
  <si>
    <t>Total Liabilities</t>
  </si>
  <si>
    <t>06/27/2024</t>
  </si>
  <si>
    <t>06/26/2024</t>
  </si>
  <si>
    <t>Stockholders’ equity:</t>
  </si>
  <si>
    <t>Commitments and Contingencies (Note 18)</t>
  </si>
  <si>
    <t>06/25/2024</t>
  </si>
  <si>
    <t>06/24/2024</t>
  </si>
  <si>
    <t>Preferred stock,</t>
  </si>
  <si>
    <t>Sonoco Shareholders’ Equity</t>
  </si>
  <si>
    <t>06/21/2024</t>
  </si>
  <si>
    <t>06/20/2024</t>
  </si>
  <si>
    <t>Common stock</t>
  </si>
  <si>
    <t>Serial preferred stock</t>
  </si>
  <si>
    <t>06/18/2024</t>
  </si>
  <si>
    <t>06/17/2024</t>
  </si>
  <si>
    <t>Common shares</t>
  </si>
  <si>
    <t>06/14/2024</t>
  </si>
  <si>
    <t>06/13/2024</t>
  </si>
  <si>
    <t>Capital in excess of stated value</t>
  </si>
  <si>
    <t>05/31/2024</t>
  </si>
  <si>
    <t>05/30/2024</t>
  </si>
  <si>
    <t>05/29/2024</t>
  </si>
  <si>
    <t>05/28/2024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</si>
  <si>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</si>
  <si>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</si>
  <si>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</si>
  <si>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</si>
  <si>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</si>
  <si>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</si>
  <si>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</si>
  <si>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</si>
  <si>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Common stock in treasury</t>
  </si>
  <si>
    <t>Accumulated other comprehensive loss, net of taxes:</t>
  </si>
  <si>
    <t>Unrecognized pension items</t>
  </si>
  <si>
    <t>Total Sonoco Shareholders’ Equity</t>
  </si>
  <si>
    <t>Cumulative translation adjustment</t>
  </si>
  <si>
    <t>Noncontrolling Interests</t>
  </si>
  <si>
    <t>Unrealized net loss on net investment hedges</t>
  </si>
  <si>
    <t>Total Equity</t>
  </si>
  <si>
    <t>Unrealized net gain (loss) on cash flow hedges</t>
  </si>
  <si>
    <t>Total Liabilities and Equity</t>
  </si>
  <si>
    <t>Total accumulated other comprehensive loss, net of taxes (Note 23)</t>
  </si>
  <si>
    <t xml:space="preserve">Table A. Financial Ratios of the  Amcor Plc </t>
  </si>
  <si>
    <t>Table B. Financial Ratios of the Berry Global Group</t>
  </si>
  <si>
    <t>Total stockholders’ equity</t>
  </si>
  <si>
    <t>Liquidity Ratios:</t>
  </si>
  <si>
    <t>Total liabilities and stockholders’ equity</t>
  </si>
  <si>
    <t xml:space="preserve"> $ 7,200.6</t>
  </si>
  <si>
    <t xml:space="preserve"> $ 7,022.1</t>
  </si>
  <si>
    <t xml:space="preserve">Current Ratio </t>
  </si>
  <si>
    <t xml:space="preserve">Quick Ratio (Acid Test) </t>
  </si>
  <si>
    <t>Efficiency Ratios:</t>
  </si>
  <si>
    <t>Asset Turnover ratio</t>
  </si>
  <si>
    <t>Inventory Turnover ratio</t>
  </si>
  <si>
    <t>Average collection period</t>
  </si>
  <si>
    <t>Average payment period</t>
  </si>
  <si>
    <t>Profitability Ratios:</t>
  </si>
  <si>
    <t xml:space="preserve">Gross Profit Margin </t>
  </si>
  <si>
    <t xml:space="preserve">Net Profit Margin </t>
  </si>
  <si>
    <t>Return on Assets (ROA)</t>
  </si>
  <si>
    <t>Gearing (leverage) Ratios:</t>
  </si>
  <si>
    <t>Debt-to-equity ratio</t>
  </si>
  <si>
    <t>Net gearing(%)</t>
  </si>
  <si>
    <t>Interest coverage ratio</t>
  </si>
  <si>
    <t>Table C. Financial Ratios of the Sealed Air Corporation</t>
  </si>
  <si>
    <t>Table D. Financial Ratios of the Sonoco Products Company</t>
  </si>
  <si>
    <t>Table E. Financial Ratios of the Industry (Average of all 4 companies)</t>
  </si>
  <si>
    <t>Industry</t>
  </si>
  <si>
    <t>capacity</t>
  </si>
  <si>
    <t>Industry Current Ratio</t>
  </si>
  <si>
    <t>Industry D/E</t>
  </si>
  <si>
    <t>Amcor</t>
  </si>
  <si>
    <t>Amcor Current Ratio</t>
  </si>
  <si>
    <t>Amcor Plc D/E</t>
  </si>
  <si>
    <t>Consolidated Statements of Income - USD ($)</t>
  </si>
  <si>
    <t>12 Months Ended</t>
  </si>
  <si>
    <t>$ in Millions</t>
  </si>
  <si>
    <t>Jun. 30, 2024</t>
  </si>
  <si>
    <t>Jun. 30, 2023</t>
  </si>
  <si>
    <t>Jun. 30, 2022</t>
  </si>
  <si>
    <t>Jun. 30, 2021</t>
  </si>
  <si>
    <t>Income before income taxes and equity in loss of affiliated companies</t>
  </si>
  <si>
    <t>Consolidated Balance Sheets - USD ($)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</si>
</sst>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00%"/>
    <numFmt numFmtId="165" formatCode="0.0%"/>
    <numFmt numFmtId="166" formatCode="_([$$-409]* #,##0.00_);_([$$-409]* \(#,##0.00\);_([$$-409]* &quot;-&quot;??_);_(@_)"/>
    <numFmt numFmtId="167" formatCode="0.00000"/>
    <numFmt numFmtId="168" formatCode="0.0000"/>
    <numFmt numFmtId="169" formatCode="0.000"/>
    <numFmt numFmtId="170" formatCode="#,##0.0_);\(#,##0.0\)"/>
    <numFmt numFmtId="171" formatCode="_(&quot;$ &quot;#,##0_);_(&quot;$ &quot;\(#,##0\)"/>
    <numFmt numFmtId="172" formatCode="_(&quot;$ &quot;#,##0.00_);_(&quot;$ &quot;\(#,##0.00\)"/>
    <numFmt numFmtId="173" formatCode="_(&quot;$ &quot;#,##0.0_);_(&quot;$ &quot;\(#,##0.0\)"/>
  </numFmts>
  <fonts count="21">
    <font>
      <sz val="12.0"/>
      <color theme="1"/>
      <name val="Calibri"/>
      <scheme val="minor"/>
    </font>
    <font>
      <sz val="12.0"/>
      <color theme="1"/>
      <name val="Times New Roman"/>
    </font>
    <font>
      <b/>
      <sz val="12.0"/>
      <color theme="1"/>
      <name val="Times New Roman"/>
    </font>
    <font/>
    <font>
      <i/>
      <sz val="9.0"/>
      <color theme="1"/>
      <name val="Times New Roman"/>
    </font>
    <font>
      <b/>
      <sz val="11.0"/>
      <color theme="0"/>
      <name val="Times New Roman"/>
    </font>
    <font>
      <b/>
      <sz val="12.0"/>
      <color theme="0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sz val="9.0"/>
      <color theme="1"/>
      <name val="Times New Roman"/>
    </font>
    <font>
      <sz val="12.0"/>
      <color rgb="FF2E75B5"/>
      <name val="Times New Roman"/>
    </font>
    <font>
      <b/>
      <i/>
      <sz val="12.0"/>
      <color rgb="FF2E75B5"/>
      <name val="Times New Roman"/>
    </font>
    <font>
      <i/>
      <sz val="12.0"/>
      <color theme="1"/>
      <name val="Times New Roman"/>
    </font>
    <font>
      <sz val="12.0"/>
      <color rgb="FFFF0000"/>
      <name val="Times New Roman"/>
    </font>
    <font>
      <sz val="12.0"/>
      <color theme="0"/>
      <name val="Times New Roman"/>
    </font>
    <font>
      <b/>
      <sz val="8.0"/>
      <color rgb="FF000000"/>
      <name val="Helvetica Neue"/>
    </font>
    <font>
      <sz val="8.0"/>
      <color rgb="FF000000"/>
      <name val="Helvetica Neue"/>
    </font>
    <font>
      <u/>
      <sz val="12.0"/>
      <color theme="10"/>
      <name val="Calibri"/>
    </font>
    <font>
      <b/>
      <sz val="12.0"/>
      <color theme="10"/>
      <name val="Calibri"/>
    </font>
    <font>
      <sz val="12.0"/>
      <color theme="10"/>
      <name val="Calibri"/>
    </font>
    <font>
      <sz val="12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D0CECE"/>
        <bgColor rgb="FFD0CECE"/>
      </patternFill>
    </fill>
    <fill>
      <patternFill patternType="solid">
        <fgColor rgb="FF002060"/>
        <bgColor rgb="FF002060"/>
      </patternFill>
    </fill>
    <fill>
      <patternFill patternType="solid">
        <fgColor rgb="FF757070"/>
        <bgColor rgb="FF757070"/>
      </patternFill>
    </fill>
    <fill>
      <patternFill patternType="solid">
        <fgColor rgb="FFFBE4D5"/>
        <bgColor rgb="FFFBE4D5"/>
      </patternFill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FF2CB"/>
        <bgColor rgb="FFFFF2CB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</fills>
  <borders count="44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/>
      <bottom/>
    </border>
    <border>
      <right style="medium">
        <color rgb="FF000000"/>
      </right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/>
    </xf>
    <xf borderId="4" fillId="4" fontId="1" numFmtId="0" xfId="0" applyBorder="1" applyFill="1" applyFont="1"/>
    <xf borderId="0" fillId="0" fontId="4" numFmtId="0" xfId="0" applyFont="1"/>
    <xf borderId="5" fillId="5" fontId="5" numFmtId="0" xfId="0" applyAlignment="1" applyBorder="1" applyFill="1" applyFont="1">
      <alignment horizontal="center" vertical="center"/>
    </xf>
    <xf borderId="6" fillId="0" fontId="1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1" numFmtId="0" xfId="0" applyBorder="1" applyFont="1"/>
    <xf borderId="10" fillId="0" fontId="1" numFmtId="0" xfId="0" applyAlignment="1" applyBorder="1" applyFont="1">
      <alignment horizontal="center" vertical="center"/>
    </xf>
    <xf borderId="11" fillId="0" fontId="1" numFmtId="0" xfId="0" applyBorder="1" applyFont="1"/>
    <xf borderId="12" fillId="0" fontId="1" numFmtId="0" xfId="0" applyAlignment="1" applyBorder="1" applyFont="1">
      <alignment horizontal="center" vertical="center"/>
    </xf>
    <xf borderId="13" fillId="5" fontId="6" numFmtId="0" xfId="0" applyAlignment="1" applyBorder="1" applyFill="1" applyFont="1">
      <alignment horizontal="center"/>
    </xf>
    <xf borderId="14" fillId="0" fontId="3" numFmtId="0" xfId="0" applyBorder="1" applyFont="1"/>
    <xf borderId="6" fillId="0" fontId="2" numFmtId="0" xfId="0" applyBorder="1" applyFont="1"/>
    <xf borderId="9" fillId="0" fontId="2" numFmtId="3" xfId="0" applyBorder="1" applyFont="1" applyNumberFormat="1"/>
    <xf borderId="15" fillId="6" fontId="2" numFmtId="0" xfId="0" applyAlignment="1" applyBorder="1" applyFill="1" applyFont="1">
      <alignment horizontal="center" vertical="center"/>
    </xf>
    <xf borderId="4" fillId="7" fontId="2" numFmtId="2" xfId="0" applyAlignment="1" applyBorder="1" applyFill="1" applyFont="1" applyNumberFormat="1">
      <alignment horizontal="center" vertical="center"/>
    </xf>
    <xf borderId="11" fillId="0" fontId="2" numFmtId="3" xfId="0" applyBorder="1" applyFont="1" applyNumberFormat="1"/>
    <xf borderId="4" fillId="7" fontId="2" numFmtId="0" xfId="0" applyAlignment="1" applyBorder="1" applyFill="1" applyFont="1">
      <alignment horizontal="center" vertical="center"/>
    </xf>
    <xf borderId="9" fillId="0" fontId="2" numFmtId="2" xfId="0" applyBorder="1" applyFont="1" applyNumberFormat="1"/>
    <xf borderId="9" fillId="8" fontId="2" numFmtId="0" xfId="0" applyAlignment="1" applyBorder="1" applyFill="1" applyFont="1">
      <alignment horizontal="center" shrinkToFit="0" vertical="center" wrapText="1"/>
    </xf>
    <xf borderId="16" fillId="3" fontId="2" numFmtId="0" xfId="0" applyAlignment="1" applyBorder="1" applyFill="1" applyFont="1">
      <alignment horizontal="center" vertical="center"/>
    </xf>
    <xf borderId="17" fillId="0" fontId="3" numFmtId="0" xfId="0" applyBorder="1" applyFont="1"/>
    <xf borderId="9" fillId="0" fontId="7" numFmtId="2" xfId="0" applyBorder="1" applyFont="1" applyNumberFormat="1"/>
    <xf borderId="0" fillId="0" fontId="2" numFmtId="0" xfId="0" applyAlignment="1" applyFont="1">
      <alignment horizontal="center" vertical="center"/>
    </xf>
    <xf borderId="11" fillId="0" fontId="7" numFmtId="2" xfId="0" applyBorder="1" applyFont="1" applyNumberFormat="1"/>
    <xf borderId="0" fillId="0" fontId="1" numFmtId="14" xfId="0" applyAlignment="1" applyFont="1" applyNumberFormat="1">
      <alignment horizontal="center" vertical="center"/>
    </xf>
    <xf borderId="9" fillId="0" fontId="1" numFmtId="10" xfId="0" applyBorder="1" applyFont="1" applyNumberFormat="1"/>
    <xf borderId="9" fillId="0" fontId="8" numFmtId="2" xfId="0" applyBorder="1" applyFont="1" applyNumberFormat="1"/>
    <xf borderId="4" fillId="9" fontId="2" numFmtId="2" xfId="0" applyAlignment="1" applyBorder="1" applyFill="1" applyFont="1" applyNumberFormat="1">
      <alignment horizontal="center" vertical="center"/>
    </xf>
    <xf borderId="11" fillId="0" fontId="8" numFmtId="2" xfId="0" applyBorder="1" applyFont="1" applyNumberFormat="1"/>
    <xf borderId="11" fillId="0" fontId="1" numFmtId="10" xfId="0" applyBorder="1" applyFont="1" applyNumberFormat="1"/>
    <xf borderId="9" fillId="0" fontId="1" numFmtId="2" xfId="0" applyBorder="1" applyFont="1" applyNumberFormat="1"/>
    <xf borderId="0" fillId="0" fontId="1" numFmtId="164" xfId="0" applyFont="1" applyNumberFormat="1"/>
    <xf borderId="0" fillId="0" fontId="1" numFmtId="165" xfId="0" applyFont="1" applyNumberFormat="1"/>
    <xf borderId="9" fillId="0" fontId="1" numFmtId="0" xfId="0" applyAlignment="1" applyBorder="1" applyFont="1">
      <alignment horizontal="left" vertical="center"/>
    </xf>
    <xf borderId="6" fillId="6" fontId="2" numFmtId="0" xfId="0" applyBorder="1" applyFill="1" applyFont="1"/>
    <xf borderId="9" fillId="0" fontId="1" numFmtId="166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9" fillId="0" fontId="1" numFmtId="0" xfId="0" applyAlignment="1" applyBorder="1" applyFont="1">
      <alignment horizontal="center"/>
    </xf>
    <xf borderId="10" fillId="0" fontId="1" numFmtId="0" xfId="0" applyBorder="1" applyFont="1"/>
    <xf borderId="0" fillId="0" fontId="1" numFmtId="2" xfId="0" applyAlignment="1" applyFont="1" applyNumberFormat="1">
      <alignment horizontal="center" vertical="center"/>
    </xf>
    <xf borderId="9" fillId="0" fontId="9" numFmtId="0" xfId="0" applyAlignment="1" applyBorder="1" applyFont="1">
      <alignment horizontal="center" shrinkToFit="0" vertical="center" wrapText="1"/>
    </xf>
    <xf borderId="9" fillId="0" fontId="9" numFmtId="9" xfId="0" applyAlignment="1" applyBorder="1" applyFont="1" applyNumberFormat="1">
      <alignment horizontal="center" shrinkToFit="0" vertical="center" wrapText="1"/>
    </xf>
    <xf borderId="0" fillId="0" fontId="9" numFmtId="9" xfId="0" applyAlignment="1" applyFont="1" applyNumberFormat="1">
      <alignment horizontal="center" shrinkToFit="0" vertical="center" wrapText="1"/>
    </xf>
    <xf borderId="4" fillId="3" fontId="2" numFmtId="0" xfId="0" applyBorder="1" applyFill="1" applyFont="1"/>
    <xf borderId="12" fillId="0" fontId="1" numFmtId="10" xfId="0" applyBorder="1" applyFont="1" applyNumberFormat="1"/>
    <xf borderId="4" fillId="10" fontId="2" numFmtId="167" xfId="0" applyBorder="1" applyFill="1" applyFont="1" applyNumberFormat="1"/>
    <xf borderId="15" fillId="0" fontId="1" numFmtId="10" xfId="0" applyBorder="1" applyFont="1" applyNumberFormat="1"/>
    <xf borderId="9" fillId="0" fontId="2" numFmtId="0" xfId="0" applyAlignment="1" applyBorder="1" applyFont="1">
      <alignment horizontal="left" vertical="center"/>
    </xf>
    <xf borderId="9" fillId="0" fontId="2" numFmtId="166" xfId="0" applyAlignment="1" applyBorder="1" applyFont="1" applyNumberFormat="1">
      <alignment horizontal="center"/>
    </xf>
    <xf borderId="9" fillId="0" fontId="1" numFmtId="0" xfId="0" applyAlignment="1" applyBorder="1" applyFont="1">
      <alignment horizontal="left" shrinkToFit="0" vertical="center" wrapText="1"/>
    </xf>
    <xf borderId="9" fillId="0" fontId="1" numFmtId="167" xfId="0" applyAlignment="1" applyBorder="1" applyFont="1" applyNumberFormat="1">
      <alignment horizontal="right"/>
    </xf>
    <xf borderId="18" fillId="3" fontId="2" numFmtId="0" xfId="0" applyBorder="1" applyFill="1" applyFont="1"/>
    <xf borderId="19" fillId="3" fontId="2" numFmtId="0" xfId="0" applyBorder="1" applyFill="1" applyFont="1"/>
    <xf borderId="0" fillId="0" fontId="10" numFmtId="0" xfId="0" applyAlignment="1" applyFont="1">
      <alignment horizontal="left" vertical="center"/>
    </xf>
    <xf borderId="20" fillId="0" fontId="1" numFmtId="0" xfId="0" applyAlignment="1" applyBorder="1" applyFont="1">
      <alignment shrinkToFit="0" wrapText="1"/>
    </xf>
    <xf borderId="21" fillId="0" fontId="1" numFmtId="0" xfId="0" applyBorder="1" applyFont="1"/>
    <xf borderId="9" fillId="0" fontId="1" numFmtId="10" xfId="0" applyAlignment="1" applyBorder="1" applyFont="1" applyNumberFormat="1">
      <alignment horizontal="right"/>
    </xf>
    <xf borderId="22" fillId="0" fontId="1" numFmtId="0" xfId="0" applyBorder="1" applyFont="1"/>
    <xf borderId="9" fillId="0" fontId="9" numFmtId="10" xfId="0" applyAlignment="1" applyBorder="1" applyFont="1" applyNumberFormat="1">
      <alignment horizontal="center" shrinkToFit="0" vertical="center" wrapText="1"/>
    </xf>
    <xf borderId="0" fillId="0" fontId="9" numFmtId="10" xfId="0" applyAlignment="1" applyFont="1" applyNumberFormat="1">
      <alignment horizontal="center" shrinkToFit="0" vertical="center" wrapText="1"/>
    </xf>
    <xf borderId="23" fillId="0" fontId="1" numFmtId="1" xfId="0" applyBorder="1" applyFont="1" applyNumberFormat="1"/>
    <xf borderId="24" fillId="0" fontId="1" numFmtId="0" xfId="0" applyBorder="1" applyFont="1"/>
    <xf borderId="25" fillId="0" fontId="1" numFmtId="0" xfId="0" applyAlignment="1" applyBorder="1" applyFont="1">
      <alignment horizontal="center"/>
    </xf>
    <xf borderId="26" fillId="0" fontId="3" numFmtId="0" xfId="0" applyBorder="1" applyFont="1"/>
    <xf borderId="27" fillId="0" fontId="3" numFmtId="0" xfId="0" applyBorder="1" applyFont="1"/>
    <xf borderId="28" fillId="6" fontId="2" numFmtId="10" xfId="0" applyBorder="1" applyFill="1" applyFont="1" applyNumberFormat="1"/>
    <xf borderId="9" fillId="0" fontId="2" numFmtId="10" xfId="0" applyBorder="1" applyFont="1" applyNumberFormat="1"/>
    <xf borderId="9" fillId="0" fontId="9" numFmtId="0" xfId="0" applyAlignment="1" applyBorder="1" applyFont="1">
      <alignment horizontal="center"/>
    </xf>
    <xf borderId="9" fillId="0" fontId="9" numFmtId="10" xfId="0" applyAlignment="1" applyBorder="1" applyFont="1" applyNumberFormat="1">
      <alignment horizontal="center"/>
    </xf>
    <xf borderId="0" fillId="0" fontId="9" numFmtId="10" xfId="0" applyAlignment="1" applyFont="1" applyNumberFormat="1">
      <alignment horizontal="center"/>
    </xf>
    <xf borderId="0" fillId="0" fontId="1" numFmtId="10" xfId="0" applyFont="1" applyNumberFormat="1"/>
    <xf borderId="18" fillId="3" fontId="2" numFmtId="0" xfId="0" applyAlignment="1" applyBorder="1" applyFill="1" applyFont="1">
      <alignment horizontal="center" vertical="center"/>
    </xf>
    <xf borderId="29" fillId="3" fontId="2" numFmtId="0" xfId="0" applyAlignment="1" applyBorder="1" applyFill="1" applyFont="1">
      <alignment horizontal="center" vertical="center"/>
    </xf>
    <xf borderId="30" fillId="0" fontId="3" numFmtId="0" xfId="0" applyBorder="1" applyFont="1"/>
    <xf borderId="31" fillId="0" fontId="3" numFmtId="0" xfId="0" applyBorder="1" applyFont="1"/>
    <xf borderId="0" fillId="0" fontId="1" numFmtId="166" xfId="0" applyFont="1" applyNumberFormat="1"/>
    <xf borderId="20" fillId="0" fontId="1" numFmtId="0" xfId="0" applyAlignment="1" applyBorder="1" applyFont="1">
      <alignment horizontal="center" vertical="center"/>
    </xf>
    <xf borderId="16" fillId="11" fontId="2" numFmtId="0" xfId="0" applyAlignment="1" applyBorder="1" applyFill="1" applyFont="1">
      <alignment horizontal="center"/>
    </xf>
    <xf borderId="32" fillId="0" fontId="3" numFmtId="0" xfId="0" applyBorder="1" applyFont="1"/>
    <xf borderId="5" fillId="12" fontId="2" numFmtId="0" xfId="0" applyAlignment="1" applyBorder="1" applyFill="1" applyFont="1">
      <alignment horizontal="center"/>
    </xf>
    <xf borderId="33" fillId="0" fontId="3" numFmtId="0" xfId="0" applyBorder="1" applyFont="1"/>
    <xf borderId="23" fillId="0" fontId="1" numFmtId="166" xfId="0" applyBorder="1" applyFont="1" applyNumberFormat="1"/>
    <xf borderId="5" fillId="13" fontId="2" numFmtId="0" xfId="0" applyAlignment="1" applyBorder="1" applyFill="1" applyFont="1">
      <alignment horizontal="center"/>
    </xf>
    <xf borderId="9" fillId="0" fontId="1" numFmtId="166" xfId="0" applyAlignment="1" applyBorder="1" applyFont="1" applyNumberFormat="1">
      <alignment horizontal="center" vertical="center"/>
    </xf>
    <xf borderId="25" fillId="0" fontId="1" numFmtId="0" xfId="0" applyAlignment="1" applyBorder="1" applyFont="1">
      <alignment shrinkToFit="0" wrapText="1"/>
    </xf>
    <xf borderId="34" fillId="0" fontId="1" numFmtId="0" xfId="0" applyBorder="1" applyFont="1"/>
    <xf borderId="25" fillId="0" fontId="1" numFmtId="0" xfId="0" applyAlignment="1" applyBorder="1" applyFont="1">
      <alignment horizontal="center" vertical="center"/>
    </xf>
    <xf borderId="35" fillId="14" fontId="2" numFmtId="0" xfId="0" applyAlignment="1" applyBorder="1" applyFill="1" applyFont="1">
      <alignment horizontal="center"/>
    </xf>
    <xf borderId="36" fillId="0" fontId="3" numFmtId="0" xfId="0" applyBorder="1" applyFont="1"/>
    <xf borderId="37" fillId="0" fontId="3" numFmtId="0" xfId="0" applyBorder="1" applyFont="1"/>
    <xf borderId="9" fillId="0" fontId="1" numFmtId="168" xfId="0" applyBorder="1" applyFont="1" applyNumberFormat="1"/>
    <xf borderId="16" fillId="11" fontId="7" numFmtId="0" xfId="0" applyAlignment="1" applyBorder="1" applyFill="1" applyFont="1">
      <alignment horizontal="center"/>
    </xf>
    <xf borderId="9" fillId="0" fontId="1" numFmtId="166" xfId="0" applyBorder="1" applyFont="1" applyNumberFormat="1"/>
    <xf borderId="38" fillId="0" fontId="8" numFmtId="0" xfId="0" applyAlignment="1" applyBorder="1" applyFont="1">
      <alignment horizontal="center" vertical="center"/>
    </xf>
    <xf borderId="39" fillId="0" fontId="8" numFmtId="0" xfId="0" applyAlignment="1" applyBorder="1" applyFont="1">
      <alignment horizontal="center" vertical="center"/>
    </xf>
    <xf borderId="38" fillId="0" fontId="8" numFmtId="168" xfId="0" applyAlignment="1" applyBorder="1" applyFont="1" applyNumberFormat="1">
      <alignment horizontal="center" vertical="center"/>
    </xf>
    <xf borderId="9" fillId="6" fontId="1" numFmtId="0" xfId="0" applyBorder="1" applyFill="1" applyFont="1"/>
    <xf borderId="39" fillId="0" fontId="8" numFmtId="168" xfId="0" applyAlignment="1" applyBorder="1" applyFont="1" applyNumberFormat="1">
      <alignment horizontal="center" vertical="center"/>
    </xf>
    <xf borderId="9" fillId="6" fontId="2" numFmtId="169" xfId="0" applyBorder="1" applyFill="1" applyFont="1" applyNumberFormat="1"/>
    <xf borderId="9" fillId="9" fontId="1" numFmtId="0" xfId="0" applyBorder="1" applyFill="1" applyFont="1"/>
    <xf borderId="12" fillId="0" fontId="8" numFmtId="2" xfId="0" applyBorder="1" applyFont="1" applyNumberFormat="1"/>
    <xf borderId="15" fillId="0" fontId="8" numFmtId="2" xfId="0" applyBorder="1" applyFont="1" applyNumberFormat="1"/>
    <xf borderId="9" fillId="9" fontId="1" numFmtId="9" xfId="0" applyBorder="1" applyFill="1" applyFont="1" applyNumberFormat="1"/>
    <xf borderId="16" fillId="0" fontId="11" numFmtId="168" xfId="0" applyAlignment="1" applyBorder="1" applyFont="1" applyNumberFormat="1">
      <alignment horizontal="center" vertical="center"/>
    </xf>
    <xf borderId="0" fillId="0" fontId="2" numFmtId="0" xfId="0" applyFont="1"/>
    <xf borderId="38" fillId="0" fontId="8" numFmtId="0" xfId="0" applyAlignment="1" applyBorder="1" applyFont="1">
      <alignment horizontal="center"/>
    </xf>
    <xf borderId="16" fillId="13" fontId="7" numFmtId="167" xfId="0" applyAlignment="1" applyBorder="1" applyFill="1" applyFont="1" applyNumberFormat="1">
      <alignment horizontal="center"/>
    </xf>
    <xf borderId="0" fillId="0" fontId="12" numFmtId="0" xfId="0" applyFont="1"/>
    <xf borderId="40" fillId="2" fontId="2" numFmtId="0" xfId="0" applyAlignment="1" applyBorder="1" applyFill="1" applyFont="1">
      <alignment horizontal="center"/>
    </xf>
    <xf borderId="1" fillId="15" fontId="2" numFmtId="0" xfId="0" applyAlignment="1" applyBorder="1" applyFill="1" applyFont="1">
      <alignment horizontal="center"/>
    </xf>
    <xf borderId="40" fillId="15" fontId="2" numFmtId="0" xfId="0" applyAlignment="1" applyBorder="1" applyFill="1" applyFont="1">
      <alignment horizontal="center"/>
    </xf>
    <xf borderId="1" fillId="16" fontId="2" numFmtId="0" xfId="0" applyAlignment="1" applyBorder="1" applyFill="1" applyFont="1">
      <alignment horizontal="center"/>
    </xf>
    <xf borderId="40" fillId="14" fontId="2" numFmtId="0" xfId="0" applyAlignment="1" applyBorder="1" applyFill="1" applyFont="1">
      <alignment horizontal="center"/>
    </xf>
    <xf borderId="1" fillId="14" fontId="2" numFmtId="0" xfId="0" applyAlignment="1" applyBorder="1" applyFill="1" applyFont="1">
      <alignment horizontal="center"/>
    </xf>
    <xf borderId="41" fillId="0" fontId="1" numFmtId="0" xfId="0" applyBorder="1" applyFont="1"/>
    <xf borderId="42" fillId="0" fontId="1" numFmtId="0" xfId="0" applyBorder="1" applyFont="1"/>
    <xf borderId="43" fillId="0" fontId="1" numFmtId="0" xfId="0" applyBorder="1" applyFont="1"/>
    <xf borderId="6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vertical="top" wrapText="1"/>
    </xf>
    <xf borderId="9" fillId="0" fontId="1" numFmtId="2" xfId="0" applyAlignment="1" applyBorder="1" applyFont="1" applyNumberFormat="1">
      <alignment horizontal="right" vertical="top"/>
    </xf>
    <xf borderId="11" fillId="0" fontId="1" numFmtId="2" xfId="0" applyAlignment="1" applyBorder="1" applyFont="1" applyNumberFormat="1">
      <alignment horizontal="right" vertical="top"/>
    </xf>
    <xf borderId="6" fillId="0" fontId="1" numFmtId="0" xfId="0" applyAlignment="1" applyBorder="1" applyFont="1">
      <alignment shrinkToFit="0" vertical="top" wrapText="1"/>
    </xf>
    <xf borderId="6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vertical="top" wrapText="1"/>
    </xf>
    <xf borderId="11" fillId="0" fontId="1" numFmtId="0" xfId="0" applyAlignment="1" applyBorder="1" applyFont="1">
      <alignment shrinkToFit="0" vertical="top" wrapText="1"/>
    </xf>
    <xf borderId="9" fillId="0" fontId="1" numFmtId="170" xfId="0" applyAlignment="1" applyBorder="1" applyFont="1" applyNumberFormat="1">
      <alignment horizontal="right" vertical="top"/>
    </xf>
    <xf borderId="9" fillId="0" fontId="1" numFmtId="37" xfId="0" applyAlignment="1" applyBorder="1" applyFont="1" applyNumberFormat="1">
      <alignment horizontal="right" vertical="top"/>
    </xf>
    <xf borderId="11" fillId="0" fontId="1" numFmtId="170" xfId="0" applyAlignment="1" applyBorder="1" applyFont="1" applyNumberFormat="1">
      <alignment horizontal="right" vertical="top"/>
    </xf>
    <xf borderId="11" fillId="0" fontId="1" numFmtId="37" xfId="0" applyAlignment="1" applyBorder="1" applyFont="1" applyNumberFormat="1">
      <alignment horizontal="right" vertical="top"/>
    </xf>
    <xf borderId="9" fillId="0" fontId="2" numFmtId="37" xfId="0" applyAlignment="1" applyBorder="1" applyFont="1" applyNumberFormat="1">
      <alignment horizontal="right" vertical="top"/>
    </xf>
    <xf borderId="11" fillId="0" fontId="2" numFmtId="37" xfId="0" applyAlignment="1" applyBorder="1" applyFont="1" applyNumberFormat="1">
      <alignment horizontal="right" vertical="top"/>
    </xf>
    <xf borderId="9" fillId="0" fontId="1" numFmtId="171" xfId="0" applyAlignment="1" applyBorder="1" applyFont="1" applyNumberFormat="1">
      <alignment horizontal="right" vertical="top"/>
    </xf>
    <xf borderId="11" fillId="0" fontId="1" numFmtId="171" xfId="0" applyAlignment="1" applyBorder="1" applyFont="1" applyNumberFormat="1">
      <alignment horizontal="right" vertical="top"/>
    </xf>
    <xf borderId="9" fillId="0" fontId="1" numFmtId="172" xfId="0" applyAlignment="1" applyBorder="1" applyFont="1" applyNumberFormat="1">
      <alignment horizontal="right" vertical="top"/>
    </xf>
    <xf borderId="11" fillId="0" fontId="1" numFmtId="172" xfId="0" applyAlignment="1" applyBorder="1" applyFont="1" applyNumberFormat="1">
      <alignment horizontal="right" vertical="top"/>
    </xf>
    <xf borderId="10" fillId="0" fontId="1" numFmtId="0" xfId="0" applyAlignment="1" applyBorder="1" applyFont="1">
      <alignment shrinkToFit="0" vertical="top" wrapText="1"/>
    </xf>
    <xf borderId="12" fillId="0" fontId="1" numFmtId="173" xfId="0" applyAlignment="1" applyBorder="1" applyFont="1" applyNumberFormat="1">
      <alignment horizontal="right" vertical="top"/>
    </xf>
    <xf borderId="12" fillId="0" fontId="1" numFmtId="172" xfId="0" applyAlignment="1" applyBorder="1" applyFont="1" applyNumberFormat="1">
      <alignment horizontal="right" vertical="top"/>
    </xf>
    <xf borderId="15" fillId="0" fontId="1" numFmtId="172" xfId="0" applyAlignment="1" applyBorder="1" applyFont="1" applyNumberFormat="1">
      <alignment horizontal="right" vertical="top"/>
    </xf>
    <xf borderId="9" fillId="0" fontId="1" numFmtId="173" xfId="0" applyAlignment="1" applyBorder="1" applyFont="1" applyNumberFormat="1">
      <alignment horizontal="right" vertical="top"/>
    </xf>
    <xf borderId="11" fillId="0" fontId="1" numFmtId="173" xfId="0" applyAlignment="1" applyBorder="1" applyFont="1" applyNumberFormat="1">
      <alignment horizontal="right" vertical="top"/>
    </xf>
    <xf borderId="9" fillId="0" fontId="2" numFmtId="170" xfId="0" applyAlignment="1" applyBorder="1" applyFont="1" applyNumberFormat="1">
      <alignment horizontal="right" vertical="top"/>
    </xf>
    <xf borderId="11" fillId="0" fontId="2" numFmtId="170" xfId="0" applyAlignment="1" applyBorder="1" applyFont="1" applyNumberFormat="1">
      <alignment horizontal="right" vertical="top"/>
    </xf>
    <xf borderId="9" fillId="0" fontId="8" numFmtId="0" xfId="0" applyBorder="1" applyFont="1"/>
    <xf borderId="9" fillId="0" fontId="8" numFmtId="3" xfId="0" applyBorder="1" applyFont="1" applyNumberFormat="1"/>
    <xf borderId="11" fillId="0" fontId="8" numFmtId="0" xfId="0" applyBorder="1" applyFont="1"/>
    <xf borderId="9" fillId="0" fontId="1" numFmtId="39" xfId="0" applyAlignment="1" applyBorder="1" applyFont="1" applyNumberFormat="1">
      <alignment horizontal="right" vertical="top"/>
    </xf>
    <xf borderId="11" fillId="0" fontId="1" numFmtId="39" xfId="0" applyAlignment="1" applyBorder="1" applyFont="1" applyNumberFormat="1">
      <alignment horizontal="right" vertical="top"/>
    </xf>
    <xf borderId="10" fillId="0" fontId="1" numFmtId="0" xfId="0" applyAlignment="1" applyBorder="1" applyFont="1">
      <alignment shrinkToFit="0" wrapText="1"/>
    </xf>
    <xf borderId="12" fillId="0" fontId="8" numFmtId="0" xfId="0" applyBorder="1" applyFont="1"/>
    <xf borderId="15" fillId="0" fontId="8" numFmtId="0" xfId="0" applyBorder="1" applyFont="1"/>
    <xf borderId="0" fillId="0" fontId="1" numFmtId="3" xfId="0" applyFont="1" applyNumberFormat="1"/>
    <xf borderId="0" fillId="0" fontId="1" numFmtId="4" xfId="0" applyFont="1" applyNumberFormat="1"/>
    <xf borderId="12" fillId="0" fontId="1" numFmtId="170" xfId="0" applyAlignment="1" applyBorder="1" applyFont="1" applyNumberFormat="1">
      <alignment horizontal="right" vertical="top"/>
    </xf>
    <xf borderId="15" fillId="0" fontId="1" numFmtId="37" xfId="0" applyAlignment="1" applyBorder="1" applyFont="1" applyNumberFormat="1">
      <alignment horizontal="right" vertical="top"/>
    </xf>
    <xf borderId="12" fillId="0" fontId="1" numFmtId="171" xfId="0" applyAlignment="1" applyBorder="1" applyFont="1" applyNumberFormat="1">
      <alignment horizontal="right" vertical="top"/>
    </xf>
    <xf borderId="15" fillId="0" fontId="1" numFmtId="171" xfId="0" applyAlignment="1" applyBorder="1" applyFont="1" applyNumberFormat="1">
      <alignment horizontal="right" vertical="top"/>
    </xf>
    <xf borderId="0" fillId="0" fontId="13" numFmtId="0" xfId="0" applyFont="1"/>
    <xf borderId="12" fillId="0" fontId="1" numFmtId="0" xfId="0" applyAlignment="1" applyBorder="1" applyFont="1">
      <alignment horizontal="center"/>
    </xf>
    <xf borderId="0" fillId="0" fontId="2" numFmtId="3" xfId="0" applyFont="1" applyNumberFormat="1"/>
    <xf borderId="0" fillId="0" fontId="1" numFmtId="0" xfId="0" applyAlignment="1" applyFont="1">
      <alignment horizontal="center" vertical="center"/>
    </xf>
    <xf borderId="10" fillId="0" fontId="2" numFmtId="0" xfId="0" applyBorder="1" applyFont="1"/>
    <xf borderId="12" fillId="0" fontId="2" numFmtId="171" xfId="0" applyAlignment="1" applyBorder="1" applyFont="1" applyNumberFormat="1">
      <alignment horizontal="right" vertical="top"/>
    </xf>
    <xf borderId="15" fillId="0" fontId="2" numFmtId="171" xfId="0" applyAlignment="1" applyBorder="1" applyFont="1" applyNumberFormat="1">
      <alignment horizontal="right" vertical="top"/>
    </xf>
    <xf borderId="1" fillId="11" fontId="2" numFmtId="0" xfId="0" applyAlignment="1" applyBorder="1" applyFill="1" applyFont="1">
      <alignment horizontal="center"/>
    </xf>
    <xf borderId="6" fillId="3" fontId="2" numFmtId="0" xfId="0" applyAlignment="1" applyBorder="1" applyFill="1" applyFont="1">
      <alignment horizontal="left" vertical="center"/>
    </xf>
    <xf borderId="9" fillId="3" fontId="2" numFmtId="0" xfId="0" applyAlignment="1" applyBorder="1" applyFill="1" applyFont="1">
      <alignment horizontal="center" vertical="center"/>
    </xf>
    <xf borderId="11" fillId="3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15" fillId="0" fontId="1" numFmtId="173" xfId="0" applyAlignment="1" applyBorder="1" applyFont="1" applyNumberFormat="1">
      <alignment horizontal="right" vertical="top"/>
    </xf>
    <xf borderId="20" fillId="0" fontId="1" numFmtId="0" xfId="0" applyBorder="1" applyFont="1"/>
    <xf borderId="11" fillId="0" fontId="1" numFmtId="2" xfId="0" applyBorder="1" applyFont="1" applyNumberFormat="1"/>
    <xf borderId="0" fillId="0" fontId="1" numFmtId="2" xfId="0" applyFont="1" applyNumberFormat="1"/>
    <xf borderId="9" fillId="3" fontId="1" numFmtId="0" xfId="0" applyBorder="1" applyFill="1" applyFont="1"/>
    <xf borderId="11" fillId="3" fontId="1" numFmtId="0" xfId="0" applyBorder="1" applyFill="1" applyFont="1"/>
    <xf borderId="9" fillId="0" fontId="1" numFmtId="1" xfId="0" applyBorder="1" applyFont="1" applyNumberFormat="1"/>
    <xf borderId="11" fillId="0" fontId="1" numFmtId="1" xfId="0" applyBorder="1" applyFont="1" applyNumberFormat="1"/>
    <xf borderId="0" fillId="0" fontId="1" numFmtId="1" xfId="0" applyFont="1" applyNumberFormat="1"/>
    <xf borderId="6" fillId="3" fontId="7" numFmtId="0" xfId="0" applyAlignment="1" applyBorder="1" applyFill="1" applyFont="1">
      <alignment horizontal="left" vertical="center"/>
    </xf>
    <xf borderId="0" fillId="0" fontId="7" numFmtId="0" xfId="0" applyAlignment="1" applyFont="1">
      <alignment horizontal="left" vertical="center"/>
    </xf>
    <xf borderId="20" fillId="0" fontId="8" numFmtId="0" xfId="0" applyBorder="1" applyFont="1"/>
    <xf borderId="0" fillId="0" fontId="8" numFmtId="0" xfId="0" applyFont="1"/>
    <xf borderId="9" fillId="0" fontId="1" numFmtId="9" xfId="0" applyBorder="1" applyFont="1" applyNumberFormat="1"/>
    <xf borderId="11" fillId="0" fontId="1" numFmtId="9" xfId="0" applyBorder="1" applyFont="1" applyNumberFormat="1"/>
    <xf borderId="12" fillId="0" fontId="1" numFmtId="2" xfId="0" applyBorder="1" applyFont="1" applyNumberFormat="1"/>
    <xf borderId="15" fillId="0" fontId="1" numFmtId="2" xfId="0" applyBorder="1" applyFont="1" applyNumberFormat="1"/>
    <xf borderId="9" fillId="0" fontId="13" numFmtId="10" xfId="0" applyBorder="1" applyFont="1" applyNumberFormat="1"/>
    <xf borderId="9" fillId="3" fontId="1" numFmtId="2" xfId="0" applyBorder="1" applyFill="1" applyFont="1" applyNumberFormat="1"/>
    <xf borderId="11" fillId="3" fontId="1" numFmtId="2" xfId="0" applyBorder="1" applyFill="1" applyFont="1" applyNumberFormat="1"/>
    <xf borderId="0" fillId="0" fontId="14" numFmtId="0" xfId="0" applyFont="1"/>
    <xf borderId="0" fillId="0" fontId="6" numFmtId="0" xfId="0" applyFont="1"/>
    <xf borderId="0" fillId="0" fontId="6" numFmtId="2" xfId="0" applyFont="1" applyNumberFormat="1"/>
    <xf borderId="0" fillId="0" fontId="14" numFmtId="2" xfId="0" applyFont="1" applyNumberFormat="1"/>
    <xf borderId="0" fillId="0" fontId="14" numFmtId="1" xfId="0" applyFont="1" applyNumberFormat="1"/>
    <xf borderId="4" fillId="17" fontId="1" numFmtId="0" xfId="0" applyBorder="1" applyFill="1" applyFont="1"/>
    <xf borderId="4" fillId="17" fontId="2" numFmtId="0" xfId="0" applyAlignment="1" applyBorder="1" applyFill="1" applyFont="1">
      <alignment horizontal="center"/>
    </xf>
    <xf borderId="4" fillId="14" fontId="2" numFmtId="0" xfId="0" applyAlignment="1" applyBorder="1" applyFill="1" applyFont="1">
      <alignment horizontal="center"/>
    </xf>
    <xf borderId="4" fillId="18" fontId="2" numFmtId="0" xfId="0" applyAlignment="1" applyBorder="1" applyFill="1" applyFont="1">
      <alignment horizontal="center"/>
    </xf>
    <xf borderId="0" fillId="0" fontId="15" numFmtId="0" xfId="0" applyFont="1"/>
    <xf borderId="0" fillId="0" fontId="16" numFmtId="0" xfId="0" applyFont="1"/>
    <xf borderId="0" fillId="0" fontId="17" numFmtId="0" xfId="0" applyFont="1"/>
    <xf borderId="0" fillId="0" fontId="16" numFmtId="3" xfId="0" applyFont="1" applyNumberFormat="1"/>
    <xf borderId="0" fillId="0" fontId="18" numFmtId="0" xfId="0" applyFont="1"/>
    <xf borderId="0" fillId="0" fontId="16" numFmtId="2" xfId="0" applyFont="1" applyNumberFormat="1"/>
    <xf borderId="0" fillId="0" fontId="15" numFmtId="2" xfId="0" applyFont="1" applyNumberFormat="1"/>
    <xf borderId="0" fillId="0" fontId="19" numFmtId="0" xfId="0" applyFont="1"/>
    <xf borderId="0" fillId="0" fontId="20" numFmtId="2" xfId="0" applyFont="1" applyNumberFormat="1"/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Gross Profit Margin</a:t>
            </a:r>
          </a:p>
        </c:rich>
      </c:tx>
      <c:overlay val="0"/>
    </c:title>
    <c:plotArea>
      <c:layout>
        <c:manualLayout>
          <c:xMode val="edge"/>
          <c:yMode val="edge"/>
          <c:x val="0.06929699975124975"/>
          <c:y val="0.12045501353400535"/>
          <c:w val="0.9232915564250872"/>
          <c:h val="0.8093626578002266"/>
        </c:manualLayout>
      </c:layout>
      <c:barChart>
        <c:barDir val="col"/>
        <c:ser>
          <c:idx val="0"/>
          <c:order val="0"/>
          <c:tx>
            <c:v>Gross Profit Margin 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'Five Cs'!$E$102:$H$102</c:f>
            </c:strRef>
          </c:cat>
          <c:val>
            <c:numRef>
              <c:f>'Five Cs'!$B$73:$E$73</c:f>
              <c:numCache/>
            </c:numRef>
          </c:val>
        </c:ser>
        <c:ser>
          <c:idx val="1"/>
          <c:order val="1"/>
          <c:tx>
            <c:v>Gross Profit Margin 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'Five Cs'!$E$102:$H$102</c:f>
            </c:strRef>
          </c:cat>
          <c:val>
            <c:numRef>
              <c:f>'Five Cs'!$E$111:$H$111</c:f>
              <c:numCache/>
            </c:numRef>
          </c:val>
        </c:ser>
        <c:axId val="642877845"/>
        <c:axId val="1156261754"/>
      </c:barChart>
      <c:catAx>
        <c:axId val="642877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56261754"/>
      </c:catAx>
      <c:valAx>
        <c:axId val="1156261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4287784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Net Profit Margin</a:t>
            </a:r>
          </a:p>
        </c:rich>
      </c:tx>
      <c:overlay val="0"/>
    </c:title>
    <c:plotArea>
      <c:layout>
        <c:manualLayout>
          <c:xMode val="edge"/>
          <c:yMode val="edge"/>
          <c:x val="0.06929699975124975"/>
          <c:y val="0.12045501353400535"/>
          <c:w val="0.9232915564250872"/>
          <c:h val="0.8093626578002266"/>
        </c:manualLayout>
      </c:layout>
      <c:barChart>
        <c:barDir val="col"/>
        <c:ser>
          <c:idx val="0"/>
          <c:order val="0"/>
          <c:tx>
            <c:v>Net Profit Margin 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'Five Cs'!$E$102:$H$102</c:f>
            </c:strRef>
          </c:cat>
          <c:val>
            <c:numRef>
              <c:f>'Five Cs'!$B$74:$E$74</c:f>
              <c:numCache/>
            </c:numRef>
          </c:val>
        </c:ser>
        <c:ser>
          <c:idx val="1"/>
          <c:order val="1"/>
          <c:tx>
            <c:v>Net Profit Margin 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'Five Cs'!$E$102:$H$102</c:f>
            </c:strRef>
          </c:cat>
          <c:val>
            <c:numRef>
              <c:f>'Five Cs'!$E$112:$H$112</c:f>
              <c:numCache/>
            </c:numRef>
          </c:val>
        </c:ser>
        <c:axId val="626864398"/>
        <c:axId val="45654477"/>
      </c:barChart>
      <c:catAx>
        <c:axId val="626864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5654477"/>
      </c:catAx>
      <c:valAx>
        <c:axId val="45654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26864398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Return on Assets (ROA)</a:t>
            </a:r>
          </a:p>
        </c:rich>
      </c:tx>
      <c:overlay val="0"/>
    </c:title>
    <c:plotArea>
      <c:layout>
        <c:manualLayout>
          <c:xMode val="edge"/>
          <c:yMode val="edge"/>
          <c:x val="0.06929699975124975"/>
          <c:y val="0.12045501353400535"/>
          <c:w val="0.9232915564250872"/>
          <c:h val="0.8093626578002266"/>
        </c:manualLayout>
      </c:layout>
      <c:barChart>
        <c:barDir val="col"/>
        <c:ser>
          <c:idx val="0"/>
          <c:order val="0"/>
          <c:tx>
            <c:v>Return on Assets (ROA)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'Five Cs'!$E$102:$H$102</c:f>
            </c:strRef>
          </c:cat>
          <c:val>
            <c:numRef>
              <c:f>'Five Cs'!$B$75:$E$75</c:f>
              <c:numCache/>
            </c:numRef>
          </c:val>
        </c:ser>
        <c:ser>
          <c:idx val="1"/>
          <c:order val="1"/>
          <c:tx>
            <c:v>Return on Assets (ROA)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'Five Cs'!$E$102:$H$102</c:f>
            </c:strRef>
          </c:cat>
          <c:val>
            <c:numRef>
              <c:f>'Five Cs'!$E$113:$H$113</c:f>
              <c:numCache/>
            </c:numRef>
          </c:val>
        </c:ser>
        <c:axId val="615195510"/>
        <c:axId val="1105609933"/>
      </c:barChart>
      <c:catAx>
        <c:axId val="6151955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05609933"/>
      </c:catAx>
      <c:valAx>
        <c:axId val="11056099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1519551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Interest Coverage Ratio
</a:t>
            </a:r>
          </a:p>
        </c:rich>
      </c:tx>
      <c:overlay val="0"/>
    </c:title>
    <c:plotArea>
      <c:layout>
        <c:manualLayout>
          <c:xMode val="edge"/>
          <c:yMode val="edge"/>
          <c:x val="0.06929699975124975"/>
          <c:y val="0.12045501353400535"/>
          <c:w val="0.9232915564250872"/>
          <c:h val="0.8093626578002266"/>
        </c:manualLayout>
      </c:layout>
      <c:barChart>
        <c:barDir val="col"/>
        <c:ser>
          <c:idx val="0"/>
          <c:order val="0"/>
          <c:tx>
            <c:v>Interest coverage ratio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'Five Cs'!$E$102:$H$102</c:f>
            </c:strRef>
          </c:cat>
          <c:val>
            <c:numRef>
              <c:f>'Five Cs'!$B$79:$E$79</c:f>
              <c:numCache/>
            </c:numRef>
          </c:val>
        </c:ser>
        <c:ser>
          <c:idx val="1"/>
          <c:order val="1"/>
          <c:tx>
            <c:v>Interest coverage ratio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'Five Cs'!$E$102:$H$102</c:f>
            </c:strRef>
          </c:cat>
          <c:val>
            <c:numRef>
              <c:f>'Five Cs'!$E$117:$H$117</c:f>
              <c:numCache/>
            </c:numRef>
          </c:val>
        </c:ser>
        <c:axId val="810655464"/>
        <c:axId val="1137014538"/>
      </c:barChart>
      <c:catAx>
        <c:axId val="810655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37014538"/>
      </c:catAx>
      <c:valAx>
        <c:axId val="1137014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0655464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Industry VS Amcor D/E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v>Industry D/E</c:v>
          </c:tx>
          <c:spPr>
            <a:ln cmpd="sng" w="28575">
              <a:solidFill>
                <a:srgbClr val="4472C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'Five Cs'!$E$134:$H$134</c:f>
            </c:strRef>
          </c:cat>
          <c:val>
            <c:numRef>
              <c:f>'Five Cs'!$E$131:$H$131</c:f>
              <c:numCache/>
            </c:numRef>
          </c:val>
          <c:smooth val="0"/>
        </c:ser>
        <c:ser>
          <c:idx val="1"/>
          <c:order val="1"/>
          <c:tx>
            <c:v>Amcor Plc D/E</c:v>
          </c:tx>
          <c:spPr>
            <a:ln cmpd="sng" w="28575">
              <a:solidFill>
                <a:srgbClr val="0070C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'Five Cs'!$E$134:$H$134</c:f>
            </c:strRef>
          </c:cat>
          <c:val>
            <c:numRef>
              <c:f>'Five Cs'!$E$137:$H$137</c:f>
              <c:numCache/>
            </c:numRef>
          </c:val>
          <c:smooth val="0"/>
        </c:ser>
        <c:axId val="866269182"/>
        <c:axId val="624275547"/>
      </c:lineChart>
      <c:catAx>
        <c:axId val="8662691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24275547"/>
      </c:catAx>
      <c:valAx>
        <c:axId val="6242755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6626918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Industry Vs Amcor Liquidity </a:t>
            </a:r>
          </a:p>
        </c:rich>
      </c:tx>
      <c:overlay val="0"/>
    </c:title>
    <c:plotArea>
      <c:layout/>
      <c:lineChart>
        <c:ser>
          <c:idx val="0"/>
          <c:order val="0"/>
          <c:tx>
            <c:v>Industry Current Ratio</c:v>
          </c:tx>
          <c:spPr>
            <a:ln cmpd="sng" w="28575">
              <a:solidFill>
                <a:srgbClr val="4472C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'Five Cs'!$E$128:$H$128</c:f>
            </c:strRef>
          </c:cat>
          <c:val>
            <c:numRef>
              <c:f>'Five Cs'!$E$129:$H$129</c:f>
              <c:numCache/>
            </c:numRef>
          </c:val>
          <c:smooth val="0"/>
        </c:ser>
        <c:ser>
          <c:idx val="1"/>
          <c:order val="1"/>
          <c:tx>
            <c:v>Amcor Current Ratio</c:v>
          </c:tx>
          <c:spPr>
            <a:ln cmpd="sng" w="28575">
              <a:solidFill>
                <a:srgbClr val="0070C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'Five Cs'!$E$128:$H$128</c:f>
            </c:strRef>
          </c:cat>
          <c:val>
            <c:numRef>
              <c:f>'Five Cs'!$E$135:$H$135</c:f>
              <c:numCache/>
            </c:numRef>
          </c:val>
          <c:smooth val="0"/>
        </c:ser>
        <c:axId val="1303038480"/>
        <c:axId val="1870379522"/>
      </c:lineChart>
      <c:catAx>
        <c:axId val="1303038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70379522"/>
      </c:catAx>
      <c:valAx>
        <c:axId val="1870379522"/>
        <c:scaling>
          <c:orientation val="minMax"/>
          <c:max val="1.5"/>
          <c:min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3038480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552450</xdr:colOff>
      <xdr:row>141</xdr:row>
      <xdr:rowOff>66675</xdr:rowOff>
    </xdr:from>
    <xdr:ext cx="8477250" cy="38862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666750</xdr:colOff>
      <xdr:row>141</xdr:row>
      <xdr:rowOff>66675</xdr:rowOff>
    </xdr:from>
    <xdr:ext cx="7134225" cy="38862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552450</xdr:colOff>
      <xdr:row>160</xdr:row>
      <xdr:rowOff>180975</xdr:rowOff>
    </xdr:from>
    <xdr:ext cx="8477250" cy="38957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666750</xdr:colOff>
      <xdr:row>161</xdr:row>
      <xdr:rowOff>0</xdr:rowOff>
    </xdr:from>
    <xdr:ext cx="7153275" cy="38862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19050</xdr:colOff>
      <xdr:row>114</xdr:row>
      <xdr:rowOff>47625</xdr:rowOff>
    </xdr:from>
    <xdr:ext cx="6667500" cy="43529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847725</xdr:colOff>
      <xdr:row>114</xdr:row>
      <xdr:rowOff>19050</xdr:rowOff>
    </xdr:from>
    <xdr:ext cx="6724650" cy="43624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41.11"/>
    <col customWidth="1" min="2" max="5" width="22.33"/>
    <col customWidth="1" min="6" max="6" width="11.11"/>
    <col customWidth="1" min="7" max="7" width="43.78"/>
    <col customWidth="1" min="8" max="11" width="19.67"/>
    <col customWidth="1" min="12" max="12" width="11.0"/>
    <col customWidth="1" min="13" max="13" width="33.33"/>
    <col customWidth="1" min="14" max="17" width="11.11"/>
    <col customWidth="1" min="18" max="18" width="11.0"/>
    <col customWidth="1" min="19" max="19" width="38.0"/>
    <col customWidth="1" min="20" max="23" width="11.11"/>
    <col customWidth="1" min="24" max="24" width="11.0"/>
    <col customWidth="1" min="25" max="25" width="69.67"/>
    <col customWidth="1" min="26" max="29" width="11.11"/>
    <col customWidth="1" min="30" max="30" width="11.0"/>
    <col customWidth="1" min="31" max="31" width="68.0"/>
    <col customWidth="1" min="32" max="35" width="11.11"/>
    <col customWidth="1" min="36" max="36" width="11.0"/>
    <col customWidth="1" min="37" max="37" width="75.67"/>
    <col customWidth="1" min="38" max="41" width="11.67"/>
    <col customWidth="1" min="42" max="42" width="11.0"/>
    <col customWidth="1" min="43" max="43" width="46.44"/>
    <col customWidth="1" min="44" max="46" width="12.33"/>
    <col customWidth="1" min="47" max="47" width="13.78"/>
  </cols>
  <sheetData>
    <row r="1" ht="15.75" customHeight="1">
      <c r="A1" s="114" t="s">
        <v>203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14" t="s">
        <v>204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14" t="s">
        <v>204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14" t="s">
        <v>207</v>
      </c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15.75" customHeight="1">
      <c r="A2" s="2" t="s">
        <v>0</v>
      </c>
      <c r="B2" s="3"/>
      <c r="C2" s="3"/>
      <c r="D2" s="3"/>
      <c r="E2" s="4"/>
      <c r="F2" s="1"/>
      <c r="G2" s="115" t="s">
        <v>210</v>
      </c>
      <c r="H2" s="80"/>
      <c r="I2" s="80"/>
      <c r="J2" s="80"/>
      <c r="K2" s="81"/>
      <c r="L2" s="1"/>
      <c r="M2" s="116" t="s">
        <v>212</v>
      </c>
      <c r="N2" s="3"/>
      <c r="O2" s="3"/>
      <c r="P2" s="3"/>
      <c r="Q2" s="4"/>
      <c r="R2" s="1"/>
      <c r="S2" s="117" t="s">
        <v>215</v>
      </c>
      <c r="T2" s="80"/>
      <c r="U2" s="80"/>
      <c r="V2" s="80"/>
      <c r="W2" s="81"/>
      <c r="X2" s="1"/>
      <c r="Y2" s="118" t="s">
        <v>217</v>
      </c>
      <c r="Z2" s="3"/>
      <c r="AA2" s="3"/>
      <c r="AB2" s="3"/>
      <c r="AC2" s="4"/>
      <c r="AD2" s="1"/>
      <c r="AE2" s="118" t="s">
        <v>218</v>
      </c>
      <c r="AF2" s="3"/>
      <c r="AG2" s="3"/>
      <c r="AH2" s="3"/>
      <c r="AI2" s="4"/>
      <c r="AJ2" s="1"/>
      <c r="AK2" s="119" t="s">
        <v>220</v>
      </c>
      <c r="AL2" s="80"/>
      <c r="AM2" s="80"/>
      <c r="AN2" s="80"/>
      <c r="AO2" s="81"/>
      <c r="AP2" s="1"/>
      <c r="AQ2" s="120" t="s">
        <v>222</v>
      </c>
      <c r="AR2" s="3"/>
      <c r="AS2" s="3"/>
      <c r="AT2" s="3"/>
      <c r="AU2" s="4"/>
    </row>
    <row r="3" ht="15.75" customHeight="1">
      <c r="A3" s="9" t="s">
        <v>5</v>
      </c>
      <c r="B3" s="12">
        <v>2021.0</v>
      </c>
      <c r="C3" s="12">
        <v>2022.0</v>
      </c>
      <c r="D3" s="12">
        <v>2023.0</v>
      </c>
      <c r="E3" s="14">
        <v>2024.0</v>
      </c>
      <c r="F3" s="1"/>
      <c r="G3" s="9" t="s">
        <v>5</v>
      </c>
      <c r="H3" s="12">
        <v>2021.0</v>
      </c>
      <c r="I3" s="12">
        <v>2022.0</v>
      </c>
      <c r="J3" s="12">
        <v>2023.0</v>
      </c>
      <c r="K3" s="14">
        <v>2024.0</v>
      </c>
      <c r="L3" s="1"/>
      <c r="M3" s="9" t="s">
        <v>5</v>
      </c>
      <c r="N3" s="12">
        <v>2021.0</v>
      </c>
      <c r="O3" s="12">
        <v>2022.0</v>
      </c>
      <c r="P3" s="12">
        <v>2023.0</v>
      </c>
      <c r="Q3" s="14">
        <v>2024.0</v>
      </c>
      <c r="R3" s="1"/>
      <c r="S3" s="9" t="s">
        <v>5</v>
      </c>
      <c r="T3" s="12">
        <v>2021.0</v>
      </c>
      <c r="U3" s="12">
        <v>2022.0</v>
      </c>
      <c r="V3" s="12">
        <v>2023.0</v>
      </c>
      <c r="W3" s="14">
        <v>2024.0</v>
      </c>
      <c r="X3" s="1"/>
      <c r="Y3" s="9" t="s">
        <v>5</v>
      </c>
      <c r="Z3" s="12">
        <v>2021.0</v>
      </c>
      <c r="AA3" s="12">
        <v>2022.0</v>
      </c>
      <c r="AB3" s="12">
        <v>2023.0</v>
      </c>
      <c r="AC3" s="14">
        <v>2024.0</v>
      </c>
      <c r="AD3" s="1"/>
      <c r="AE3" s="9" t="s">
        <v>5</v>
      </c>
      <c r="AF3" s="12">
        <v>2021.0</v>
      </c>
      <c r="AG3" s="12">
        <v>2022.0</v>
      </c>
      <c r="AH3" s="12">
        <v>2023.0</v>
      </c>
      <c r="AI3" s="14">
        <v>2024.0</v>
      </c>
      <c r="AJ3" s="1"/>
      <c r="AK3" s="121" t="s">
        <v>5</v>
      </c>
      <c r="AL3" s="122">
        <v>2021.0</v>
      </c>
      <c r="AM3" s="122">
        <v>2022.0</v>
      </c>
      <c r="AN3" s="122">
        <v>2023.0</v>
      </c>
      <c r="AO3" s="123">
        <v>2024.0</v>
      </c>
      <c r="AP3" s="1"/>
      <c r="AQ3" s="9" t="s">
        <v>5</v>
      </c>
      <c r="AR3" s="12">
        <v>2021.0</v>
      </c>
      <c r="AS3" s="12">
        <v>2022.0</v>
      </c>
      <c r="AT3" s="12">
        <v>2023.0</v>
      </c>
      <c r="AU3" s="14">
        <v>2024.0</v>
      </c>
    </row>
    <row r="4" ht="15.75" customHeight="1">
      <c r="A4" s="18" t="s">
        <v>10</v>
      </c>
      <c r="B4" s="19"/>
      <c r="C4" s="19"/>
      <c r="D4" s="19"/>
      <c r="E4" s="22"/>
      <c r="F4" s="1"/>
      <c r="G4" s="124" t="s">
        <v>225</v>
      </c>
      <c r="H4" s="28">
        <v>12861.0</v>
      </c>
      <c r="I4" s="28">
        <v>14544.0</v>
      </c>
      <c r="J4" s="28">
        <v>14694.0</v>
      </c>
      <c r="K4" s="30">
        <v>13640.0</v>
      </c>
      <c r="L4" s="1"/>
      <c r="M4" s="125" t="s">
        <v>10</v>
      </c>
      <c r="N4" s="12"/>
      <c r="O4" s="12"/>
      <c r="P4" s="12"/>
      <c r="Q4" s="14"/>
      <c r="R4" s="1"/>
      <c r="S4" s="9" t="s">
        <v>226</v>
      </c>
      <c r="T4" s="126">
        <v>13850.0</v>
      </c>
      <c r="U4" s="126">
        <v>14495.0</v>
      </c>
      <c r="V4" s="126">
        <v>12664.0</v>
      </c>
      <c r="W4" s="127">
        <v>12258.0</v>
      </c>
      <c r="X4" s="1"/>
      <c r="Y4" s="128" t="s">
        <v>225</v>
      </c>
      <c r="Z4" s="126">
        <v>5533.8</v>
      </c>
      <c r="AA4" s="126">
        <v>5641.9</v>
      </c>
      <c r="AB4" s="126">
        <v>5488.9</v>
      </c>
      <c r="AC4" s="127">
        <v>5392.6</v>
      </c>
      <c r="AD4" s="1"/>
      <c r="AE4" s="125" t="s">
        <v>10</v>
      </c>
      <c r="AF4" s="12"/>
      <c r="AG4" s="12"/>
      <c r="AH4" s="12"/>
      <c r="AI4" s="14"/>
      <c r="AJ4" s="1"/>
      <c r="AK4" s="18" t="s">
        <v>225</v>
      </c>
      <c r="AL4" s="126">
        <v>5590438.0</v>
      </c>
      <c r="AM4" s="126">
        <v>5859327.0</v>
      </c>
      <c r="AN4" s="126">
        <v>5441426.0</v>
      </c>
      <c r="AO4" s="127">
        <v>5305365.0</v>
      </c>
      <c r="AP4" s="1"/>
      <c r="AQ4" s="18" t="s">
        <v>227</v>
      </c>
      <c r="AR4" s="12"/>
      <c r="AS4" s="12"/>
      <c r="AT4" s="12"/>
      <c r="AU4" s="14"/>
    </row>
    <row r="5" ht="15.75" customHeight="1">
      <c r="A5" s="18" t="s">
        <v>18</v>
      </c>
      <c r="B5" s="24">
        <v>850.0</v>
      </c>
      <c r="C5" s="24">
        <v>775.0</v>
      </c>
      <c r="D5" s="28">
        <v>689.0</v>
      </c>
      <c r="E5" s="30">
        <v>588.0</v>
      </c>
      <c r="F5" s="1"/>
      <c r="G5" s="129" t="s">
        <v>229</v>
      </c>
      <c r="H5" s="33">
        <v>10129.0</v>
      </c>
      <c r="I5" s="33">
        <v>11724.0</v>
      </c>
      <c r="J5" s="33">
        <v>11969.0</v>
      </c>
      <c r="K5" s="35">
        <v>10928.0</v>
      </c>
      <c r="L5" s="1"/>
      <c r="M5" s="128" t="s">
        <v>18</v>
      </c>
      <c r="N5" s="126">
        <v>1091.0</v>
      </c>
      <c r="O5" s="126">
        <v>1410.0</v>
      </c>
      <c r="P5" s="126">
        <v>1203.0</v>
      </c>
      <c r="Q5" s="127">
        <v>1095.0</v>
      </c>
      <c r="R5" s="1"/>
      <c r="S5" s="125" t="s">
        <v>232</v>
      </c>
      <c r="T5" s="130" t="s">
        <v>233</v>
      </c>
      <c r="U5" s="130" t="s">
        <v>233</v>
      </c>
      <c r="V5" s="130" t="s">
        <v>233</v>
      </c>
      <c r="W5" s="131" t="s">
        <v>233</v>
      </c>
      <c r="X5" s="1"/>
      <c r="Y5" s="128" t="s">
        <v>229</v>
      </c>
      <c r="Z5" s="132">
        <v>3852.9</v>
      </c>
      <c r="AA5" s="133">
        <v>3869.0</v>
      </c>
      <c r="AB5" s="132">
        <v>3847.6</v>
      </c>
      <c r="AC5" s="134">
        <v>3767.5</v>
      </c>
      <c r="AD5" s="1"/>
      <c r="AE5" s="128" t="s">
        <v>18</v>
      </c>
      <c r="AF5" s="126">
        <v>561.0</v>
      </c>
      <c r="AG5" s="126">
        <v>456.1</v>
      </c>
      <c r="AH5" s="126">
        <v>346.1</v>
      </c>
      <c r="AI5" s="127">
        <v>371.8</v>
      </c>
      <c r="AJ5" s="1"/>
      <c r="AK5" s="9" t="s">
        <v>229</v>
      </c>
      <c r="AL5" s="133">
        <v>4528528.0</v>
      </c>
      <c r="AM5" s="133">
        <v>4634009.0</v>
      </c>
      <c r="AN5" s="133">
        <v>4238857.0</v>
      </c>
      <c r="AO5" s="135">
        <v>4166132.0</v>
      </c>
      <c r="AP5" s="1"/>
      <c r="AQ5" s="9" t="s">
        <v>18</v>
      </c>
      <c r="AR5" s="126">
        <v>170978.0</v>
      </c>
      <c r="AS5" s="126">
        <v>227438.0</v>
      </c>
      <c r="AT5" s="126">
        <v>138895.0</v>
      </c>
      <c r="AU5" s="127">
        <v>431010.0</v>
      </c>
    </row>
    <row r="6" ht="15.75" customHeight="1">
      <c r="A6" s="9" t="s">
        <v>26</v>
      </c>
      <c r="B6" s="33">
        <v>1864.0</v>
      </c>
      <c r="C6" s="33">
        <v>1935.0</v>
      </c>
      <c r="D6" s="33">
        <v>1875.0</v>
      </c>
      <c r="E6" s="35">
        <v>1846.0</v>
      </c>
      <c r="F6" s="1"/>
      <c r="G6" s="124" t="s">
        <v>238</v>
      </c>
      <c r="H6" s="28">
        <v>2732.0</v>
      </c>
      <c r="I6" s="28">
        <v>2820.0</v>
      </c>
      <c r="J6" s="28">
        <v>2725.0</v>
      </c>
      <c r="K6" s="30">
        <v>2712.0</v>
      </c>
      <c r="L6" s="1"/>
      <c r="M6" s="128" t="s">
        <v>239</v>
      </c>
      <c r="N6" s="133">
        <v>1879.0</v>
      </c>
      <c r="O6" s="133">
        <v>1777.0</v>
      </c>
      <c r="P6" s="133">
        <v>1568.0</v>
      </c>
      <c r="Q6" s="135">
        <v>1604.0</v>
      </c>
      <c r="R6" s="1"/>
      <c r="S6" s="128" t="s">
        <v>240</v>
      </c>
      <c r="T6" s="133">
        <v>11352.0</v>
      </c>
      <c r="U6" s="133">
        <v>12123.0</v>
      </c>
      <c r="V6" s="133">
        <v>10354.0</v>
      </c>
      <c r="W6" s="135">
        <v>10005.0</v>
      </c>
      <c r="X6" s="1"/>
      <c r="Y6" s="128" t="s">
        <v>238</v>
      </c>
      <c r="Z6" s="132">
        <v>1680.9</v>
      </c>
      <c r="AA6" s="132">
        <v>1772.9</v>
      </c>
      <c r="AB6" s="132">
        <v>1641.3</v>
      </c>
      <c r="AC6" s="134">
        <v>1625.1</v>
      </c>
      <c r="AD6" s="1"/>
      <c r="AE6" s="128" t="s">
        <v>26</v>
      </c>
      <c r="AF6" s="132">
        <v>620.3</v>
      </c>
      <c r="AG6" s="132">
        <v>592.4</v>
      </c>
      <c r="AH6" s="132">
        <v>442.6</v>
      </c>
      <c r="AI6" s="134">
        <v>443.1</v>
      </c>
      <c r="AJ6" s="1"/>
      <c r="AK6" s="18" t="s">
        <v>238</v>
      </c>
      <c r="AL6" s="133">
        <v>1061910.0</v>
      </c>
      <c r="AM6" s="133">
        <v>1225318.0</v>
      </c>
      <c r="AN6" s="133">
        <v>1202569.0</v>
      </c>
      <c r="AO6" s="135">
        <v>1139233.0</v>
      </c>
      <c r="AP6" s="1"/>
      <c r="AQ6" s="9" t="s">
        <v>242</v>
      </c>
      <c r="AR6" s="133">
        <v>755609.0</v>
      </c>
      <c r="AS6" s="133">
        <v>862712.0</v>
      </c>
      <c r="AT6" s="133">
        <v>686278.0</v>
      </c>
      <c r="AU6" s="135">
        <v>907526.0</v>
      </c>
    </row>
    <row r="7" ht="15.75" customHeight="1">
      <c r="A7" s="9" t="s">
        <v>27</v>
      </c>
      <c r="B7" s="37" t="s">
        <v>28</v>
      </c>
      <c r="C7" s="37" t="s">
        <v>28</v>
      </c>
      <c r="D7" s="33">
        <v>992.0</v>
      </c>
      <c r="E7" s="35">
        <v>862.0</v>
      </c>
      <c r="F7" s="1"/>
      <c r="G7" s="129" t="s">
        <v>244</v>
      </c>
      <c r="H7" s="33"/>
      <c r="I7" s="33"/>
      <c r="J7" s="33"/>
      <c r="K7" s="35"/>
      <c r="L7" s="1"/>
      <c r="M7" s="128" t="s">
        <v>246</v>
      </c>
      <c r="N7" s="133">
        <v>1907.0</v>
      </c>
      <c r="O7" s="133">
        <v>1802.0</v>
      </c>
      <c r="P7" s="133">
        <v>1557.0</v>
      </c>
      <c r="Q7" s="135">
        <v>1631.0</v>
      </c>
      <c r="R7" s="1"/>
      <c r="S7" s="128" t="s">
        <v>247</v>
      </c>
      <c r="T7" s="133">
        <v>867.0</v>
      </c>
      <c r="U7" s="133">
        <v>850.0</v>
      </c>
      <c r="V7" s="133">
        <v>886.0</v>
      </c>
      <c r="W7" s="135">
        <v>892.0</v>
      </c>
      <c r="X7" s="1"/>
      <c r="Y7" s="128" t="s">
        <v>248</v>
      </c>
      <c r="Z7" s="132">
        <v>772.4</v>
      </c>
      <c r="AA7" s="132">
        <v>786.2</v>
      </c>
      <c r="AB7" s="132">
        <v>759.1</v>
      </c>
      <c r="AC7" s="134">
        <v>752.6</v>
      </c>
      <c r="AD7" s="1"/>
      <c r="AE7" s="128" t="s">
        <v>250</v>
      </c>
      <c r="AF7" s="132">
        <v>28.8</v>
      </c>
      <c r="AG7" s="132">
        <v>40.3</v>
      </c>
      <c r="AH7" s="132">
        <v>44.9</v>
      </c>
      <c r="AI7" s="135">
        <v>25.0</v>
      </c>
      <c r="AJ7" s="1"/>
      <c r="AK7" s="9" t="s">
        <v>248</v>
      </c>
      <c r="AL7" s="133">
        <v>558180.0</v>
      </c>
      <c r="AM7" s="133">
        <v>609578.0</v>
      </c>
      <c r="AN7" s="133">
        <v>644540.0</v>
      </c>
      <c r="AO7" s="135">
        <v>723833.0</v>
      </c>
      <c r="AP7" s="1"/>
      <c r="AQ7" s="9" t="s">
        <v>251</v>
      </c>
      <c r="AR7" s="133">
        <v>95943.0</v>
      </c>
      <c r="AS7" s="133">
        <v>99492.0</v>
      </c>
      <c r="AT7" s="133">
        <v>57967.0</v>
      </c>
      <c r="AU7" s="135">
        <v>175877.0</v>
      </c>
    </row>
    <row r="8" ht="19.5" customHeight="1">
      <c r="A8" s="9" t="s">
        <v>30</v>
      </c>
      <c r="B8" s="37" t="s">
        <v>28</v>
      </c>
      <c r="C8" s="37" t="s">
        <v>28</v>
      </c>
      <c r="D8" s="33">
        <v>1221.0</v>
      </c>
      <c r="E8" s="35">
        <v>1169.0</v>
      </c>
      <c r="F8" s="1"/>
      <c r="G8" s="129" t="s">
        <v>253</v>
      </c>
      <c r="H8" s="33">
        <v>-1292.0</v>
      </c>
      <c r="I8" s="33">
        <v>-1284.0</v>
      </c>
      <c r="J8" s="33">
        <v>-1246.0</v>
      </c>
      <c r="K8" s="35">
        <v>-1260.0</v>
      </c>
      <c r="L8" s="1"/>
      <c r="M8" s="128" t="s">
        <v>35</v>
      </c>
      <c r="N8" s="133">
        <v>217.0</v>
      </c>
      <c r="O8" s="133">
        <v>175.0</v>
      </c>
      <c r="P8" s="133">
        <v>205.0</v>
      </c>
      <c r="Q8" s="135">
        <v>244.0</v>
      </c>
      <c r="R8" s="1"/>
      <c r="S8" s="128" t="s">
        <v>255</v>
      </c>
      <c r="T8" s="133">
        <v>288.0</v>
      </c>
      <c r="U8" s="133">
        <v>257.0</v>
      </c>
      <c r="V8" s="133">
        <v>243.0</v>
      </c>
      <c r="W8" s="135">
        <v>234.0</v>
      </c>
      <c r="X8" s="1"/>
      <c r="Y8" s="128" t="s">
        <v>256</v>
      </c>
      <c r="Z8" s="132">
        <v>45.7</v>
      </c>
      <c r="AA8" s="132">
        <v>6.3</v>
      </c>
      <c r="AB8" s="132">
        <v>-49.3</v>
      </c>
      <c r="AC8" s="134">
        <v>-16.2</v>
      </c>
      <c r="AD8" s="1"/>
      <c r="AE8" s="128" t="s">
        <v>251</v>
      </c>
      <c r="AF8" s="132">
        <v>83.7</v>
      </c>
      <c r="AG8" s="132">
        <v>104.2</v>
      </c>
      <c r="AH8" s="132">
        <v>94.2</v>
      </c>
      <c r="AI8" s="134">
        <v>99.8</v>
      </c>
      <c r="AJ8" s="1"/>
      <c r="AK8" s="9" t="s">
        <v>258</v>
      </c>
      <c r="AL8" s="133">
        <v>14210.0</v>
      </c>
      <c r="AM8" s="133">
        <v>52385.0</v>
      </c>
      <c r="AN8" s="133">
        <v>47909.0</v>
      </c>
      <c r="AO8" s="135">
        <v>65370.0</v>
      </c>
      <c r="AP8" s="1"/>
      <c r="AQ8" s="18" t="s">
        <v>259</v>
      </c>
      <c r="AR8" s="130"/>
      <c r="AS8" s="130"/>
      <c r="AT8" s="130" t="s">
        <v>233</v>
      </c>
      <c r="AU8" s="131" t="s">
        <v>233</v>
      </c>
    </row>
    <row r="9" ht="15.75" customHeight="1">
      <c r="A9" s="18" t="s">
        <v>32</v>
      </c>
      <c r="B9" s="28">
        <v>1991.0</v>
      </c>
      <c r="C9" s="28">
        <v>2439.0</v>
      </c>
      <c r="D9" s="28">
        <f t="shared" ref="D9:E9" si="1">SUM(D7:D8)</f>
        <v>2213</v>
      </c>
      <c r="E9" s="30">
        <f t="shared" si="1"/>
        <v>2031</v>
      </c>
      <c r="F9" s="1"/>
      <c r="G9" s="129" t="s">
        <v>260</v>
      </c>
      <c r="H9" s="33">
        <v>-100.0</v>
      </c>
      <c r="I9" s="33">
        <v>-96.0</v>
      </c>
      <c r="J9" s="33">
        <v>-101.0</v>
      </c>
      <c r="K9" s="35">
        <v>-106.0</v>
      </c>
      <c r="L9" s="1"/>
      <c r="M9" s="128" t="s">
        <v>36</v>
      </c>
      <c r="N9" s="133">
        <v>5094.0</v>
      </c>
      <c r="O9" s="133">
        <v>5164.0</v>
      </c>
      <c r="P9" s="133">
        <v>4533.0</v>
      </c>
      <c r="Q9" s="135">
        <v>4574.0</v>
      </c>
      <c r="R9" s="1"/>
      <c r="S9" s="128" t="s">
        <v>261</v>
      </c>
      <c r="T9" s="133">
        <v>51.0</v>
      </c>
      <c r="U9" s="133">
        <v>23.0</v>
      </c>
      <c r="V9" s="133">
        <v>102.0</v>
      </c>
      <c r="W9" s="135">
        <v>190.0</v>
      </c>
      <c r="X9" s="1"/>
      <c r="Y9" s="128" t="s">
        <v>262</v>
      </c>
      <c r="Z9" s="132">
        <v>38.8</v>
      </c>
      <c r="AA9" s="132">
        <v>36.1</v>
      </c>
      <c r="AB9" s="132">
        <v>62.7</v>
      </c>
      <c r="AC9" s="134">
        <v>62.6</v>
      </c>
      <c r="AD9" s="1"/>
      <c r="AE9" s="128" t="s">
        <v>263</v>
      </c>
      <c r="AF9" s="12" t="s">
        <v>28</v>
      </c>
      <c r="AG9" s="12" t="s">
        <v>28</v>
      </c>
      <c r="AH9" s="132">
        <v>72.8</v>
      </c>
      <c r="AI9" s="134">
        <v>36.1</v>
      </c>
      <c r="AJ9" s="1"/>
      <c r="AK9" s="9" t="s">
        <v>264</v>
      </c>
      <c r="AL9" s="133">
        <v>2667.0</v>
      </c>
      <c r="AM9" s="133">
        <v>0.0</v>
      </c>
      <c r="AN9" s="133">
        <v>78929.0</v>
      </c>
      <c r="AO9" s="135">
        <v>-23452.0</v>
      </c>
      <c r="AP9" s="1"/>
      <c r="AQ9" s="9" t="s">
        <v>265</v>
      </c>
      <c r="AR9" s="133">
        <v>199823.0</v>
      </c>
      <c r="AS9" s="133">
        <v>453981.0</v>
      </c>
      <c r="AT9" s="133">
        <v>238395.0</v>
      </c>
      <c r="AU9" s="135">
        <v>494090.0</v>
      </c>
    </row>
    <row r="10" ht="15.75" customHeight="1">
      <c r="A10" s="9" t="s">
        <v>35</v>
      </c>
      <c r="B10" s="33">
        <v>561.0</v>
      </c>
      <c r="C10" s="33">
        <v>512.0</v>
      </c>
      <c r="D10" s="33">
        <v>531.0</v>
      </c>
      <c r="E10" s="35">
        <v>500.0</v>
      </c>
      <c r="F10" s="1"/>
      <c r="G10" s="129" t="s">
        <v>266</v>
      </c>
      <c r="H10" s="33">
        <v>-94.0</v>
      </c>
      <c r="I10" s="33">
        <v>-234.0</v>
      </c>
      <c r="J10" s="33">
        <v>104.0</v>
      </c>
      <c r="K10" s="35">
        <v>-97.0</v>
      </c>
      <c r="L10" s="1"/>
      <c r="M10" s="128" t="s">
        <v>267</v>
      </c>
      <c r="N10" s="133">
        <v>4677.0</v>
      </c>
      <c r="O10" s="133">
        <v>4342.0</v>
      </c>
      <c r="P10" s="133">
        <v>4576.0</v>
      </c>
      <c r="Q10" s="135">
        <v>4575.0</v>
      </c>
      <c r="R10" s="1"/>
      <c r="S10" s="128" t="s">
        <v>268</v>
      </c>
      <c r="T10" s="133">
        <v>1292.0</v>
      </c>
      <c r="U10" s="133">
        <v>1242.0</v>
      </c>
      <c r="V10" s="133">
        <v>1079.0</v>
      </c>
      <c r="W10" s="135">
        <v>937.0</v>
      </c>
      <c r="X10" s="1"/>
      <c r="Y10" s="128" t="s">
        <v>269</v>
      </c>
      <c r="Z10" s="132">
        <v>14.5</v>
      </c>
      <c r="AA10" s="132">
        <v>12.1</v>
      </c>
      <c r="AB10" s="132">
        <v>15.6</v>
      </c>
      <c r="AC10" s="134">
        <v>57.8</v>
      </c>
      <c r="AD10" s="1"/>
      <c r="AE10" s="128" t="s">
        <v>270</v>
      </c>
      <c r="AF10" s="132">
        <v>725.7</v>
      </c>
      <c r="AG10" s="132">
        <v>866.3</v>
      </c>
      <c r="AH10" s="132">
        <v>774.3</v>
      </c>
      <c r="AI10" s="134">
        <v>722.2</v>
      </c>
      <c r="AJ10" s="1"/>
      <c r="AK10" s="18" t="s">
        <v>271</v>
      </c>
      <c r="AL10" s="133">
        <v>486853.0</v>
      </c>
      <c r="AM10" s="133">
        <v>563355.0</v>
      </c>
      <c r="AN10" s="133">
        <v>589049.0</v>
      </c>
      <c r="AO10" s="135">
        <v>326578.0</v>
      </c>
      <c r="AP10" s="1"/>
      <c r="AQ10" s="9" t="s">
        <v>272</v>
      </c>
      <c r="AR10" s="133">
        <v>362290.0</v>
      </c>
      <c r="AS10" s="133">
        <v>641577.0</v>
      </c>
      <c r="AT10" s="133">
        <v>365253.0</v>
      </c>
      <c r="AU10" s="135">
        <v>522049.0</v>
      </c>
    </row>
    <row r="11" ht="15.75" customHeight="1">
      <c r="A11" s="18" t="s">
        <v>36</v>
      </c>
      <c r="B11" s="28">
        <v>5266.0</v>
      </c>
      <c r="C11" s="28">
        <v>5853.0</v>
      </c>
      <c r="D11" s="28">
        <v>5308.0</v>
      </c>
      <c r="E11" s="30">
        <v>4965.0</v>
      </c>
      <c r="F11" s="1"/>
      <c r="G11" s="129" t="s">
        <v>273</v>
      </c>
      <c r="H11" s="33">
        <v>75.0</v>
      </c>
      <c r="I11" s="33">
        <v>33.0</v>
      </c>
      <c r="J11" s="33">
        <v>26.0</v>
      </c>
      <c r="K11" s="35">
        <v>-35.0</v>
      </c>
      <c r="L11" s="1"/>
      <c r="M11" s="128" t="s">
        <v>274</v>
      </c>
      <c r="N11" s="133">
        <v>7434.0</v>
      </c>
      <c r="O11" s="133">
        <v>6685.0</v>
      </c>
      <c r="P11" s="133">
        <v>6684.0</v>
      </c>
      <c r="Q11" s="135">
        <v>6624.0</v>
      </c>
      <c r="R11" s="1"/>
      <c r="S11" s="128" t="s">
        <v>275</v>
      </c>
      <c r="T11" s="133">
        <v>51.0</v>
      </c>
      <c r="U11" s="133">
        <v>22.0</v>
      </c>
      <c r="V11" s="133">
        <v>31.0</v>
      </c>
      <c r="W11" s="135">
        <v>15.0</v>
      </c>
      <c r="X11" s="1"/>
      <c r="Y11" s="128" t="s">
        <v>271</v>
      </c>
      <c r="Z11" s="132">
        <v>900.9</v>
      </c>
      <c r="AA11" s="132">
        <v>944.8</v>
      </c>
      <c r="AB11" s="132">
        <v>754.6</v>
      </c>
      <c r="AC11" s="134">
        <v>735.9</v>
      </c>
      <c r="AD11" s="1"/>
      <c r="AE11" s="128" t="s">
        <v>35</v>
      </c>
      <c r="AF11" s="132">
        <v>50.1</v>
      </c>
      <c r="AG11" s="132">
        <v>57.5</v>
      </c>
      <c r="AH11" s="132">
        <v>188.4</v>
      </c>
      <c r="AI11" s="134">
        <v>193.8</v>
      </c>
      <c r="AJ11" s="1"/>
      <c r="AK11" s="9" t="s">
        <v>276</v>
      </c>
      <c r="AL11" s="133">
        <v>0.0</v>
      </c>
      <c r="AM11" s="133">
        <v>0.0</v>
      </c>
      <c r="AN11" s="133">
        <v>39657.0</v>
      </c>
      <c r="AO11" s="135">
        <v>-104200.0</v>
      </c>
      <c r="AP11" s="1"/>
      <c r="AQ11" s="9" t="s">
        <v>278</v>
      </c>
      <c r="AR11" s="133">
        <v>74034.0</v>
      </c>
      <c r="AS11" s="133">
        <v>76054.0</v>
      </c>
      <c r="AT11" s="133">
        <v>103959.0</v>
      </c>
      <c r="AU11" s="135">
        <v>197134.0</v>
      </c>
    </row>
    <row r="12" ht="15.75" customHeight="1">
      <c r="A12" s="9" t="s">
        <v>39</v>
      </c>
      <c r="B12" s="33"/>
      <c r="C12" s="33"/>
      <c r="D12" s="33"/>
      <c r="E12" s="35"/>
      <c r="F12" s="1"/>
      <c r="G12" s="124" t="s">
        <v>268</v>
      </c>
      <c r="H12" s="28">
        <v>1321.0</v>
      </c>
      <c r="I12" s="28">
        <v>1239.0</v>
      </c>
      <c r="J12" s="28">
        <v>1508.0</v>
      </c>
      <c r="K12" s="30">
        <v>1214.0</v>
      </c>
      <c r="L12" s="1"/>
      <c r="M12" s="128" t="s">
        <v>279</v>
      </c>
      <c r="N12" s="133">
        <v>562.0</v>
      </c>
      <c r="O12" s="133">
        <v>521.0</v>
      </c>
      <c r="P12" s="133">
        <v>625.0</v>
      </c>
      <c r="Q12" s="135">
        <v>651.0</v>
      </c>
      <c r="R12" s="1"/>
      <c r="S12" s="128" t="s">
        <v>280</v>
      </c>
      <c r="T12" s="133">
        <v>336.0</v>
      </c>
      <c r="U12" s="133">
        <v>286.0</v>
      </c>
      <c r="V12" s="133">
        <v>306.0</v>
      </c>
      <c r="W12" s="135">
        <v>311.0</v>
      </c>
      <c r="X12" s="1"/>
      <c r="Y12" s="128" t="s">
        <v>281</v>
      </c>
      <c r="Z12" s="132">
        <v>-167.8</v>
      </c>
      <c r="AA12" s="132">
        <v>-162.3</v>
      </c>
      <c r="AB12" s="133">
        <v>-263.0</v>
      </c>
      <c r="AC12" s="134">
        <v>-247.6</v>
      </c>
      <c r="AD12" s="1"/>
      <c r="AE12" s="125" t="s">
        <v>36</v>
      </c>
      <c r="AF12" s="132">
        <v>2069.6</v>
      </c>
      <c r="AG12" s="132">
        <v>2116.8</v>
      </c>
      <c r="AH12" s="132">
        <v>1963.3</v>
      </c>
      <c r="AI12" s="134">
        <v>1891.8</v>
      </c>
      <c r="AJ12" s="1"/>
      <c r="AK12" s="9" t="s">
        <v>283</v>
      </c>
      <c r="AL12" s="133">
        <v>568416.0</v>
      </c>
      <c r="AM12" s="133">
        <v>7073.0</v>
      </c>
      <c r="AN12" s="133">
        <v>14312.0</v>
      </c>
      <c r="AO12" s="135">
        <v>13842.0</v>
      </c>
      <c r="AP12" s="1"/>
      <c r="AQ12" s="9" t="s">
        <v>284</v>
      </c>
      <c r="AR12" s="133" t="s">
        <v>28</v>
      </c>
      <c r="AS12" s="133" t="s">
        <v>28</v>
      </c>
      <c r="AT12" s="133">
        <v>459618.0</v>
      </c>
      <c r="AU12" s="135">
        <v>450874.0</v>
      </c>
    </row>
    <row r="13" ht="15.75" customHeight="1">
      <c r="A13" s="9" t="s">
        <v>41</v>
      </c>
      <c r="B13" s="33">
        <v>3761.0</v>
      </c>
      <c r="C13" s="33">
        <v>3646.0</v>
      </c>
      <c r="D13" s="33">
        <v>3762.0</v>
      </c>
      <c r="E13" s="35">
        <v>3763.0</v>
      </c>
      <c r="F13" s="1"/>
      <c r="G13" s="129" t="s">
        <v>286</v>
      </c>
      <c r="H13" s="33">
        <v>14.0</v>
      </c>
      <c r="I13" s="33">
        <v>24.0</v>
      </c>
      <c r="J13" s="33">
        <v>31.0</v>
      </c>
      <c r="K13" s="35">
        <v>38.0</v>
      </c>
      <c r="L13" s="1"/>
      <c r="M13" s="128" t="s">
        <v>287</v>
      </c>
      <c r="N13" s="133">
        <v>115.0</v>
      </c>
      <c r="O13" s="133">
        <v>244.0</v>
      </c>
      <c r="P13" s="133">
        <v>169.0</v>
      </c>
      <c r="Q13" s="135">
        <v>189.0</v>
      </c>
      <c r="R13" s="1"/>
      <c r="S13" s="128" t="s">
        <v>288</v>
      </c>
      <c r="T13" s="133">
        <v>905.0</v>
      </c>
      <c r="U13" s="133">
        <v>934.0</v>
      </c>
      <c r="V13" s="133">
        <v>742.0</v>
      </c>
      <c r="W13" s="135">
        <v>611.0</v>
      </c>
      <c r="X13" s="1"/>
      <c r="Y13" s="128" t="s">
        <v>290</v>
      </c>
      <c r="Z13" s="132">
        <v>-16.9</v>
      </c>
      <c r="AA13" s="132">
        <v>-53.2</v>
      </c>
      <c r="AB13" s="132">
        <v>-61.9</v>
      </c>
      <c r="AC13" s="134">
        <v>-29.9</v>
      </c>
      <c r="AD13" s="1"/>
      <c r="AE13" s="128" t="s">
        <v>291</v>
      </c>
      <c r="AF13" s="133">
        <v>1232.0</v>
      </c>
      <c r="AG13" s="132">
        <v>1275.9</v>
      </c>
      <c r="AH13" s="132">
        <v>1416.4</v>
      </c>
      <c r="AI13" s="134">
        <v>1397.9</v>
      </c>
      <c r="AJ13" s="1"/>
      <c r="AK13" s="9" t="s">
        <v>280</v>
      </c>
      <c r="AL13" s="133">
        <v>63991.0</v>
      </c>
      <c r="AM13" s="133">
        <v>100875.0</v>
      </c>
      <c r="AN13" s="133">
        <v>135393.0</v>
      </c>
      <c r="AO13" s="135">
        <v>172620.0</v>
      </c>
      <c r="AP13" s="1"/>
      <c r="AQ13" s="18" t="s">
        <v>292</v>
      </c>
      <c r="AR13" s="136">
        <v>1658677.0</v>
      </c>
      <c r="AS13" s="136">
        <v>2361254.0</v>
      </c>
      <c r="AT13" s="136">
        <v>2050365.0</v>
      </c>
      <c r="AU13" s="137">
        <v>3178560.0</v>
      </c>
    </row>
    <row r="14" ht="15.75" customHeight="1">
      <c r="A14" s="9" t="s">
        <v>43</v>
      </c>
      <c r="B14" s="33">
        <v>532.0</v>
      </c>
      <c r="C14" s="33">
        <v>560.0</v>
      </c>
      <c r="D14" s="33">
        <v>533.0</v>
      </c>
      <c r="E14" s="35">
        <v>567.0</v>
      </c>
      <c r="F14" s="1"/>
      <c r="G14" s="129" t="s">
        <v>280</v>
      </c>
      <c r="H14" s="33">
        <v>153.0</v>
      </c>
      <c r="I14" s="33">
        <v>159.0</v>
      </c>
      <c r="J14" s="33">
        <v>290.0</v>
      </c>
      <c r="K14" s="35">
        <v>348.0</v>
      </c>
      <c r="L14" s="1"/>
      <c r="M14" s="128" t="s">
        <v>55</v>
      </c>
      <c r="N14" s="133">
        <v>17882.0</v>
      </c>
      <c r="O14" s="133">
        <v>16956.0</v>
      </c>
      <c r="P14" s="133">
        <v>16587.0</v>
      </c>
      <c r="Q14" s="135">
        <v>16613.0</v>
      </c>
      <c r="R14" s="1"/>
      <c r="S14" s="128" t="s">
        <v>295</v>
      </c>
      <c r="T14" s="133">
        <v>172.0</v>
      </c>
      <c r="U14" s="133">
        <v>168.0</v>
      </c>
      <c r="V14" s="133">
        <v>133.0</v>
      </c>
      <c r="W14" s="135">
        <v>95.0</v>
      </c>
      <c r="X14" s="1"/>
      <c r="Y14" s="128" t="s">
        <v>297</v>
      </c>
      <c r="Z14" s="132">
        <v>716.2</v>
      </c>
      <c r="AA14" s="132">
        <v>729.3</v>
      </c>
      <c r="AB14" s="132">
        <v>429.7</v>
      </c>
      <c r="AC14" s="134">
        <v>458.4</v>
      </c>
      <c r="AD14" s="1"/>
      <c r="AE14" s="128" t="s">
        <v>298</v>
      </c>
      <c r="AF14" s="132">
        <v>2189.4</v>
      </c>
      <c r="AG14" s="132">
        <v>2174.5</v>
      </c>
      <c r="AH14" s="132">
        <v>2892.5</v>
      </c>
      <c r="AI14" s="134">
        <v>2878.5</v>
      </c>
      <c r="AJ14" s="1"/>
      <c r="AK14" s="9" t="s">
        <v>286</v>
      </c>
      <c r="AL14" s="133">
        <v>4756.0</v>
      </c>
      <c r="AM14" s="133">
        <v>4527.0</v>
      </c>
      <c r="AN14" s="133">
        <v>10026.0</v>
      </c>
      <c r="AO14" s="135">
        <v>27570.0</v>
      </c>
      <c r="AP14" s="1"/>
      <c r="AQ14" s="9" t="s">
        <v>300</v>
      </c>
      <c r="AR14" s="133">
        <v>1297500.0</v>
      </c>
      <c r="AS14" s="133">
        <v>1710399.0</v>
      </c>
      <c r="AT14" s="133">
        <v>1662767.0</v>
      </c>
      <c r="AU14" s="135">
        <v>2718747.0</v>
      </c>
    </row>
    <row r="15" ht="15.75" customHeight="1">
      <c r="A15" s="9" t="s">
        <v>44</v>
      </c>
      <c r="B15" s="33">
        <v>139.0</v>
      </c>
      <c r="C15" s="33">
        <v>130.0</v>
      </c>
      <c r="D15" s="33">
        <v>134.0</v>
      </c>
      <c r="E15" s="35">
        <v>148.0</v>
      </c>
      <c r="F15" s="1"/>
      <c r="G15" s="129" t="s">
        <v>301</v>
      </c>
      <c r="H15" s="33">
        <v>11.0</v>
      </c>
      <c r="I15" s="33">
        <v>11.0</v>
      </c>
      <c r="J15" s="33">
        <v>2.0</v>
      </c>
      <c r="K15" s="35">
        <v>3.0</v>
      </c>
      <c r="L15" s="1"/>
      <c r="M15" s="125" t="s">
        <v>57</v>
      </c>
      <c r="N15" s="130" t="s">
        <v>233</v>
      </c>
      <c r="O15" s="130" t="s">
        <v>233</v>
      </c>
      <c r="P15" s="130" t="s">
        <v>233</v>
      </c>
      <c r="Q15" s="131" t="s">
        <v>233</v>
      </c>
      <c r="R15" s="1"/>
      <c r="S15" s="128" t="s">
        <v>303</v>
      </c>
      <c r="T15" s="138">
        <v>733.0</v>
      </c>
      <c r="U15" s="138">
        <v>766.0</v>
      </c>
      <c r="V15" s="138">
        <v>609.0</v>
      </c>
      <c r="W15" s="139">
        <v>516.0</v>
      </c>
      <c r="X15" s="1"/>
      <c r="Y15" s="128" t="s">
        <v>305</v>
      </c>
      <c r="Z15" s="133">
        <v>225.0</v>
      </c>
      <c r="AA15" s="133">
        <v>238.0</v>
      </c>
      <c r="AB15" s="132">
        <v>90.4</v>
      </c>
      <c r="AC15" s="134">
        <v>188.9</v>
      </c>
      <c r="AD15" s="1"/>
      <c r="AE15" s="128" t="s">
        <v>306</v>
      </c>
      <c r="AF15" s="132">
        <v>152.6</v>
      </c>
      <c r="AG15" s="132">
        <v>138.4</v>
      </c>
      <c r="AH15" s="133">
        <v>439.0</v>
      </c>
      <c r="AI15" s="134">
        <v>381.6</v>
      </c>
      <c r="AJ15" s="1"/>
      <c r="AK15" s="9" t="s">
        <v>307</v>
      </c>
      <c r="AL15" s="133" t="s">
        <v>28</v>
      </c>
      <c r="AM15" s="133">
        <v>459934.0</v>
      </c>
      <c r="AN15" s="133">
        <v>489027.0</v>
      </c>
      <c r="AO15" s="135">
        <v>63486.0</v>
      </c>
      <c r="AP15" s="1"/>
      <c r="AQ15" s="9" t="s">
        <v>48</v>
      </c>
      <c r="AR15" s="133">
        <v>1324501.0</v>
      </c>
      <c r="AS15" s="133">
        <v>1675311.0</v>
      </c>
      <c r="AT15" s="133">
        <v>1298011.0</v>
      </c>
      <c r="AU15" s="135">
        <v>2525657.0</v>
      </c>
    </row>
    <row r="16" ht="15.75" customHeight="1">
      <c r="A16" s="9" t="s">
        <v>45</v>
      </c>
      <c r="B16" s="33">
        <v>1835.0</v>
      </c>
      <c r="C16" s="33">
        <v>1657.0</v>
      </c>
      <c r="D16" s="33">
        <v>1524.0</v>
      </c>
      <c r="E16" s="35">
        <v>1391.0</v>
      </c>
      <c r="F16" s="1"/>
      <c r="G16" s="129" t="s">
        <v>309</v>
      </c>
      <c r="H16" s="33">
        <v>1193.0</v>
      </c>
      <c r="I16" s="33">
        <v>1115.0</v>
      </c>
      <c r="J16" s="33">
        <v>1251.0</v>
      </c>
      <c r="K16" s="35">
        <v>907.0</v>
      </c>
      <c r="L16" s="1"/>
      <c r="M16" s="128" t="s">
        <v>311</v>
      </c>
      <c r="N16" s="133">
        <v>2041.0</v>
      </c>
      <c r="O16" s="133">
        <v>1795.0</v>
      </c>
      <c r="P16" s="133">
        <v>1528.0</v>
      </c>
      <c r="Q16" s="135">
        <v>1766.0</v>
      </c>
      <c r="R16" s="1"/>
      <c r="S16" s="125" t="s">
        <v>312</v>
      </c>
      <c r="T16" s="130" t="s">
        <v>233</v>
      </c>
      <c r="U16" s="12"/>
      <c r="V16" s="12"/>
      <c r="W16" s="14"/>
      <c r="X16" s="1"/>
      <c r="Y16" s="128" t="s">
        <v>313</v>
      </c>
      <c r="Z16" s="132">
        <v>491.2</v>
      </c>
      <c r="AA16" s="132">
        <v>491.3</v>
      </c>
      <c r="AB16" s="132">
        <v>339.3</v>
      </c>
      <c r="AC16" s="134">
        <v>269.5</v>
      </c>
      <c r="AD16" s="1"/>
      <c r="AE16" s="128" t="s">
        <v>314</v>
      </c>
      <c r="AF16" s="132">
        <v>138.4</v>
      </c>
      <c r="AG16" s="132">
        <v>141.5</v>
      </c>
      <c r="AH16" s="132">
        <v>130.8</v>
      </c>
      <c r="AI16" s="135">
        <v>112.0</v>
      </c>
      <c r="AJ16" s="1"/>
      <c r="AK16" s="9" t="s">
        <v>315</v>
      </c>
      <c r="AL16" s="133">
        <v>-67430.0</v>
      </c>
      <c r="AM16" s="133">
        <v>95731.0</v>
      </c>
      <c r="AN16" s="133">
        <v>119730.0</v>
      </c>
      <c r="AO16" s="135">
        <v>5509.0</v>
      </c>
      <c r="AP16" s="1"/>
      <c r="AQ16" s="9" t="s">
        <v>316</v>
      </c>
      <c r="AR16" s="133">
        <v>278143.0</v>
      </c>
      <c r="AS16" s="133">
        <v>741598.0</v>
      </c>
      <c r="AT16" s="133">
        <v>726557.0</v>
      </c>
      <c r="AU16" s="135">
        <v>2586698.0</v>
      </c>
    </row>
    <row r="17" ht="15.75" customHeight="1">
      <c r="A17" s="9" t="s">
        <v>48</v>
      </c>
      <c r="B17" s="33">
        <v>5419.0</v>
      </c>
      <c r="C17" s="33">
        <v>5285.0</v>
      </c>
      <c r="D17" s="33">
        <v>5366.0</v>
      </c>
      <c r="E17" s="35">
        <v>5345.0</v>
      </c>
      <c r="F17" s="1"/>
      <c r="G17" s="129" t="s">
        <v>295</v>
      </c>
      <c r="H17" s="33">
        <v>-261.0</v>
      </c>
      <c r="I17" s="33">
        <v>-300.0</v>
      </c>
      <c r="J17" s="33">
        <v>-193.0</v>
      </c>
      <c r="K17" s="35">
        <v>-163.0</v>
      </c>
      <c r="L17" s="1"/>
      <c r="M17" s="128" t="s">
        <v>66</v>
      </c>
      <c r="N17" s="133">
        <v>336.0</v>
      </c>
      <c r="O17" s="133">
        <v>253.0</v>
      </c>
      <c r="P17" s="133">
        <v>273.0</v>
      </c>
      <c r="Q17" s="135">
        <v>267.0</v>
      </c>
      <c r="R17" s="1"/>
      <c r="S17" s="128" t="s">
        <v>317</v>
      </c>
      <c r="T17" s="140">
        <v>5.45</v>
      </c>
      <c r="U17" s="140">
        <v>5.87</v>
      </c>
      <c r="V17" s="140">
        <v>5.07</v>
      </c>
      <c r="W17" s="141">
        <v>4.48</v>
      </c>
      <c r="X17" s="1"/>
      <c r="Y17" s="128" t="s">
        <v>318</v>
      </c>
      <c r="Z17" s="132">
        <v>15.6</v>
      </c>
      <c r="AA17" s="132">
        <v>0.3</v>
      </c>
      <c r="AB17" s="132">
        <v>2.3</v>
      </c>
      <c r="AC17" s="134">
        <v>-4.8</v>
      </c>
      <c r="AD17" s="1"/>
      <c r="AE17" s="128" t="s">
        <v>319</v>
      </c>
      <c r="AF17" s="132">
        <v>1.5</v>
      </c>
      <c r="AG17" s="132">
        <v>0.0</v>
      </c>
      <c r="AH17" s="132" t="s">
        <v>28</v>
      </c>
      <c r="AI17" s="135" t="s">
        <v>28</v>
      </c>
      <c r="AJ17" s="1"/>
      <c r="AK17" s="9" t="s">
        <v>320</v>
      </c>
      <c r="AL17" s="133">
        <v>-93552.0</v>
      </c>
      <c r="AM17" s="133">
        <v>364203.0</v>
      </c>
      <c r="AN17" s="133">
        <v>369297.0</v>
      </c>
      <c r="AO17" s="135">
        <v>57977.0</v>
      </c>
      <c r="AP17" s="1"/>
      <c r="AQ17" s="9" t="s">
        <v>321</v>
      </c>
      <c r="AR17" s="133">
        <v>25818.0</v>
      </c>
      <c r="AS17" s="133">
        <v>29878.0</v>
      </c>
      <c r="AT17" s="133">
        <v>30623.0</v>
      </c>
      <c r="AU17" s="135">
        <v>17371.0</v>
      </c>
    </row>
    <row r="18" ht="15.75" customHeight="1">
      <c r="A18" s="9" t="s">
        <v>49</v>
      </c>
      <c r="B18" s="33">
        <v>52.0</v>
      </c>
      <c r="C18" s="33">
        <v>89.0</v>
      </c>
      <c r="D18" s="33">
        <v>67.0</v>
      </c>
      <c r="E18" s="35">
        <v>34.0</v>
      </c>
      <c r="F18" s="1"/>
      <c r="G18" s="129" t="s">
        <v>322</v>
      </c>
      <c r="H18" s="33">
        <v>19.0</v>
      </c>
      <c r="I18" s="33">
        <v>0.0</v>
      </c>
      <c r="J18" s="33">
        <v>0.0</v>
      </c>
      <c r="K18" s="35">
        <v>-4.0</v>
      </c>
      <c r="L18" s="1"/>
      <c r="M18" s="128" t="s">
        <v>68</v>
      </c>
      <c r="N18" s="133">
        <v>788.0</v>
      </c>
      <c r="O18" s="133">
        <v>783.0</v>
      </c>
      <c r="P18" s="133">
        <v>902.0</v>
      </c>
      <c r="Q18" s="135">
        <v>829.0</v>
      </c>
      <c r="R18" s="1"/>
      <c r="S18" s="142" t="s">
        <v>323</v>
      </c>
      <c r="T18" s="143">
        <v>5.3</v>
      </c>
      <c r="U18" s="144">
        <v>5.77</v>
      </c>
      <c r="V18" s="144">
        <v>4.95</v>
      </c>
      <c r="W18" s="145">
        <v>4.38</v>
      </c>
      <c r="X18" s="1"/>
      <c r="Y18" s="128" t="s">
        <v>324</v>
      </c>
      <c r="Z18" s="146">
        <v>506.8</v>
      </c>
      <c r="AA18" s="146">
        <v>491.6</v>
      </c>
      <c r="AB18" s="146">
        <v>341.6</v>
      </c>
      <c r="AC18" s="147">
        <v>264.7</v>
      </c>
      <c r="AD18" s="1"/>
      <c r="AE18" s="128" t="s">
        <v>325</v>
      </c>
      <c r="AF18" s="132">
        <v>63.8</v>
      </c>
      <c r="AG18" s="132">
        <v>70.2</v>
      </c>
      <c r="AH18" s="132">
        <v>86.5</v>
      </c>
      <c r="AI18" s="135">
        <v>98.0</v>
      </c>
      <c r="AJ18" s="1"/>
      <c r="AK18" s="9" t="s">
        <v>326</v>
      </c>
      <c r="AL18" s="133">
        <v>10841.0</v>
      </c>
      <c r="AM18" s="133">
        <v>14207.0</v>
      </c>
      <c r="AN18" s="133">
        <v>10347.0</v>
      </c>
      <c r="AO18" s="135">
        <v>9588.0</v>
      </c>
      <c r="AP18" s="1"/>
      <c r="AQ18" s="9" t="s">
        <v>328</v>
      </c>
      <c r="AR18" s="133">
        <v>268390.0</v>
      </c>
      <c r="AS18" s="133">
        <v>296781.0</v>
      </c>
      <c r="AT18" s="133">
        <v>233461.0</v>
      </c>
      <c r="AU18" s="135">
        <v>307688.0</v>
      </c>
    </row>
    <row r="19" ht="15.75" customHeight="1">
      <c r="A19" s="9" t="s">
        <v>50</v>
      </c>
      <c r="B19" s="33">
        <v>184.0</v>
      </c>
      <c r="C19" s="33">
        <v>206.0</v>
      </c>
      <c r="D19" s="33">
        <v>309.0</v>
      </c>
      <c r="E19" s="35">
        <v>311.0</v>
      </c>
      <c r="F19" s="1"/>
      <c r="G19" s="124" t="s">
        <v>303</v>
      </c>
      <c r="H19" s="28">
        <v>951.0</v>
      </c>
      <c r="I19" s="28">
        <v>815.0</v>
      </c>
      <c r="J19" s="28">
        <v>1058.0</v>
      </c>
      <c r="K19" s="30">
        <v>740.0</v>
      </c>
      <c r="L19" s="1"/>
      <c r="M19" s="128" t="s">
        <v>60</v>
      </c>
      <c r="N19" s="133">
        <v>21.0</v>
      </c>
      <c r="O19" s="133">
        <v>13.0</v>
      </c>
      <c r="P19" s="133">
        <v>10.0</v>
      </c>
      <c r="Q19" s="135">
        <v>810.0</v>
      </c>
      <c r="R19" s="1"/>
      <c r="S19" s="1"/>
      <c r="T19" s="1"/>
      <c r="U19" s="1"/>
      <c r="V19" s="1"/>
      <c r="W19" s="1"/>
      <c r="X19" s="1"/>
      <c r="Y19" s="125" t="s">
        <v>330</v>
      </c>
      <c r="Z19" s="130" t="s">
        <v>233</v>
      </c>
      <c r="AA19" s="130" t="s">
        <v>233</v>
      </c>
      <c r="AB19" s="130" t="s">
        <v>233</v>
      </c>
      <c r="AC19" s="131" t="s">
        <v>233</v>
      </c>
      <c r="AD19" s="1"/>
      <c r="AE19" s="128" t="s">
        <v>50</v>
      </c>
      <c r="AF19" s="133">
        <v>382.0</v>
      </c>
      <c r="AG19" s="132">
        <v>297.4</v>
      </c>
      <c r="AH19" s="132">
        <v>272.1</v>
      </c>
      <c r="AI19" s="134">
        <v>262.3</v>
      </c>
      <c r="AJ19" s="1"/>
      <c r="AK19" s="9" t="s">
        <v>332</v>
      </c>
      <c r="AL19" s="133">
        <v>0.0</v>
      </c>
      <c r="AM19" s="133">
        <v>378410.0</v>
      </c>
      <c r="AN19" s="133">
        <v>379644.0</v>
      </c>
      <c r="AO19" s="135">
        <v>67565.0</v>
      </c>
      <c r="AP19" s="1"/>
      <c r="AQ19" s="9" t="s">
        <v>333</v>
      </c>
      <c r="AR19" s="133">
        <v>220206.0</v>
      </c>
      <c r="AS19" s="133">
        <v>237719.0</v>
      </c>
      <c r="AT19" s="133">
        <v>206064.0</v>
      </c>
      <c r="AU19" s="135">
        <v>208759.0</v>
      </c>
    </row>
    <row r="20" ht="15.75" customHeight="1">
      <c r="A20" s="9" t="s">
        <v>53</v>
      </c>
      <c r="B20" s="33">
        <v>11922.0</v>
      </c>
      <c r="C20" s="33">
        <v>11573.0</v>
      </c>
      <c r="D20" s="33">
        <v>11695.0</v>
      </c>
      <c r="E20" s="35">
        <v>11559.0</v>
      </c>
      <c r="F20" s="1"/>
      <c r="G20" s="129" t="s">
        <v>335</v>
      </c>
      <c r="H20" s="33">
        <v>-12.0</v>
      </c>
      <c r="I20" s="33">
        <v>-10.0</v>
      </c>
      <c r="J20" s="33">
        <v>-10.0</v>
      </c>
      <c r="K20" s="35">
        <v>-10.0</v>
      </c>
      <c r="L20" s="1"/>
      <c r="M20" s="128" t="s">
        <v>70</v>
      </c>
      <c r="N20" s="133">
        <v>3186.0</v>
      </c>
      <c r="O20" s="133">
        <v>2844.0</v>
      </c>
      <c r="P20" s="133">
        <v>2713.0</v>
      </c>
      <c r="Q20" s="135">
        <v>3672.0</v>
      </c>
      <c r="R20" s="1"/>
      <c r="S20" s="1"/>
      <c r="T20" s="1"/>
      <c r="U20" s="1"/>
      <c r="V20" s="1"/>
      <c r="W20" s="1"/>
      <c r="X20" s="1"/>
      <c r="Y20" s="128" t="s">
        <v>337</v>
      </c>
      <c r="Z20" s="140">
        <v>3.26</v>
      </c>
      <c r="AA20" s="140">
        <v>3.37</v>
      </c>
      <c r="AB20" s="140">
        <v>2.35</v>
      </c>
      <c r="AC20" s="141">
        <v>1.85</v>
      </c>
      <c r="AD20" s="1"/>
      <c r="AE20" s="125" t="s">
        <v>55</v>
      </c>
      <c r="AF20" s="148">
        <v>6229.3</v>
      </c>
      <c r="AG20" s="148">
        <v>6214.7</v>
      </c>
      <c r="AH20" s="148">
        <v>7200.6</v>
      </c>
      <c r="AI20" s="149">
        <v>7022.1</v>
      </c>
      <c r="AJ20" s="1"/>
      <c r="AK20" s="9" t="s">
        <v>339</v>
      </c>
      <c r="AL20" s="133">
        <v>0.0</v>
      </c>
      <c r="AM20" s="133">
        <v>88570.0</v>
      </c>
      <c r="AN20" s="133">
        <v>96257.0</v>
      </c>
      <c r="AO20" s="135">
        <v>96375.0</v>
      </c>
      <c r="AP20" s="1"/>
      <c r="AQ20" s="9" t="s">
        <v>340</v>
      </c>
      <c r="AR20" s="130" t="s">
        <v>28</v>
      </c>
      <c r="AS20" s="130" t="s">
        <v>28</v>
      </c>
      <c r="AT20" s="133">
        <v>984109.0</v>
      </c>
      <c r="AU20" s="135">
        <v>964310.0</v>
      </c>
    </row>
    <row r="21" ht="15.75" customHeight="1">
      <c r="A21" s="18" t="s">
        <v>55</v>
      </c>
      <c r="B21" s="28">
        <v>17188.0</v>
      </c>
      <c r="C21" s="28">
        <v>17426.0</v>
      </c>
      <c r="D21" s="28">
        <v>17003.0</v>
      </c>
      <c r="E21" s="30">
        <v>16524.0</v>
      </c>
      <c r="F21" s="1"/>
      <c r="G21" s="129" t="s">
        <v>342</v>
      </c>
      <c r="H21" s="150">
        <v>939.0</v>
      </c>
      <c r="I21" s="150">
        <v>805.0</v>
      </c>
      <c r="J21" s="151">
        <v>1048.0</v>
      </c>
      <c r="K21" s="152">
        <v>730.0</v>
      </c>
      <c r="L21" s="1"/>
      <c r="M21" s="128" t="s">
        <v>344</v>
      </c>
      <c r="N21" s="133">
        <v>9439.0</v>
      </c>
      <c r="O21" s="133">
        <v>9242.0</v>
      </c>
      <c r="P21" s="133">
        <v>8970.0</v>
      </c>
      <c r="Q21" s="135">
        <v>7505.0</v>
      </c>
      <c r="R21" s="1"/>
      <c r="S21" s="1"/>
      <c r="T21" s="1"/>
      <c r="U21" s="1"/>
      <c r="V21" s="1"/>
      <c r="W21" s="1"/>
      <c r="X21" s="1"/>
      <c r="Y21" s="128" t="s">
        <v>346</v>
      </c>
      <c r="Z21" s="153">
        <v>0.1</v>
      </c>
      <c r="AA21" s="133">
        <v>0.0</v>
      </c>
      <c r="AB21" s="153">
        <v>0.02</v>
      </c>
      <c r="AC21" s="154">
        <v>-0.03</v>
      </c>
      <c r="AD21" s="1"/>
      <c r="AE21" s="125" t="s">
        <v>57</v>
      </c>
      <c r="AF21" s="12"/>
      <c r="AG21" s="12"/>
      <c r="AH21" s="130"/>
      <c r="AI21" s="131"/>
      <c r="AJ21" s="1"/>
      <c r="AK21" s="18" t="s">
        <v>303</v>
      </c>
      <c r="AL21" s="133">
        <v>-82711.0</v>
      </c>
      <c r="AM21" s="133">
        <v>466980.0</v>
      </c>
      <c r="AN21" s="133">
        <v>475901.0</v>
      </c>
      <c r="AO21" s="135">
        <v>163940.0</v>
      </c>
      <c r="AP21" s="1"/>
      <c r="AQ21" s="18" t="s">
        <v>348</v>
      </c>
      <c r="AR21" s="136">
        <v>5073235.0</v>
      </c>
      <c r="AS21" s="136">
        <v>7052940.0</v>
      </c>
      <c r="AT21" s="136">
        <v>7191957.0</v>
      </c>
      <c r="AU21" s="137">
        <v>1.250779E7</v>
      </c>
    </row>
    <row r="22" ht="15.75" customHeight="1">
      <c r="A22" s="9" t="s">
        <v>57</v>
      </c>
      <c r="B22" s="33"/>
      <c r="C22" s="33"/>
      <c r="D22" s="33"/>
      <c r="E22" s="35"/>
      <c r="F22" s="1"/>
      <c r="G22" s="129" t="s">
        <v>350</v>
      </c>
      <c r="H22" s="150"/>
      <c r="I22" s="150"/>
      <c r="J22" s="150"/>
      <c r="K22" s="152"/>
      <c r="L22" s="1"/>
      <c r="M22" s="128" t="s">
        <v>351</v>
      </c>
      <c r="N22" s="133">
        <v>568.0</v>
      </c>
      <c r="O22" s="133">
        <v>707.0</v>
      </c>
      <c r="P22" s="133">
        <v>573.0</v>
      </c>
      <c r="Q22" s="135">
        <v>475.0</v>
      </c>
      <c r="R22" s="1"/>
      <c r="S22" s="1"/>
      <c r="T22" s="1"/>
      <c r="U22" s="1"/>
      <c r="V22" s="1"/>
      <c r="W22" s="1"/>
      <c r="X22" s="1"/>
      <c r="Y22" s="128" t="s">
        <v>353</v>
      </c>
      <c r="Z22" s="153">
        <v>3.36</v>
      </c>
      <c r="AA22" s="153">
        <v>3.37</v>
      </c>
      <c r="AB22" s="153">
        <v>2.37</v>
      </c>
      <c r="AC22" s="154">
        <v>1.82</v>
      </c>
      <c r="AD22" s="1"/>
      <c r="AE22" s="128" t="s">
        <v>354</v>
      </c>
      <c r="AF22" s="132">
        <v>1.3</v>
      </c>
      <c r="AG22" s="132">
        <v>6.6</v>
      </c>
      <c r="AH22" s="132">
        <v>140.7</v>
      </c>
      <c r="AI22" s="134">
        <v>140.5</v>
      </c>
      <c r="AJ22" s="1"/>
      <c r="AK22" s="9" t="s">
        <v>355</v>
      </c>
      <c r="AL22" s="133">
        <v>0.0</v>
      </c>
      <c r="AM22" s="133">
        <v>-284.0</v>
      </c>
      <c r="AN22" s="133">
        <v>-768.0</v>
      </c>
      <c r="AO22" s="135">
        <v>180.0</v>
      </c>
      <c r="AP22" s="1"/>
      <c r="AQ22" s="18" t="s">
        <v>356</v>
      </c>
      <c r="AR22" s="133"/>
      <c r="AS22" s="133"/>
      <c r="AT22" s="130" t="s">
        <v>233</v>
      </c>
      <c r="AU22" s="131" t="s">
        <v>233</v>
      </c>
    </row>
    <row r="23" ht="15.75" customHeight="1">
      <c r="A23" s="9" t="s">
        <v>60</v>
      </c>
      <c r="B23" s="33">
        <v>5.0</v>
      </c>
      <c r="C23" s="33">
        <v>14.0</v>
      </c>
      <c r="D23" s="33">
        <v>13.0</v>
      </c>
      <c r="E23" s="35">
        <v>12.0</v>
      </c>
      <c r="F23" s="1"/>
      <c r="G23" s="129" t="s">
        <v>358</v>
      </c>
      <c r="H23" s="150" t="s">
        <v>359</v>
      </c>
      <c r="I23" s="150" t="s">
        <v>360</v>
      </c>
      <c r="J23" s="150" t="s">
        <v>361</v>
      </c>
      <c r="K23" s="152" t="s">
        <v>362</v>
      </c>
      <c r="L23" s="1"/>
      <c r="M23" s="128" t="s">
        <v>87</v>
      </c>
      <c r="N23" s="133">
        <v>276.0</v>
      </c>
      <c r="O23" s="133">
        <v>160.0</v>
      </c>
      <c r="P23" s="133">
        <v>193.0</v>
      </c>
      <c r="Q23" s="135">
        <v>152.0</v>
      </c>
      <c r="R23" s="1"/>
      <c r="S23" s="1"/>
      <c r="T23" s="1"/>
      <c r="U23" s="1"/>
      <c r="V23" s="1"/>
      <c r="W23" s="1"/>
      <c r="X23" s="1"/>
      <c r="Y23" s="125" t="s">
        <v>364</v>
      </c>
      <c r="Z23" s="130" t="s">
        <v>233</v>
      </c>
      <c r="AA23" s="130" t="s">
        <v>233</v>
      </c>
      <c r="AB23" s="130" t="s">
        <v>233</v>
      </c>
      <c r="AC23" s="131" t="s">
        <v>233</v>
      </c>
      <c r="AD23" s="1"/>
      <c r="AE23" s="128" t="s">
        <v>365</v>
      </c>
      <c r="AF23" s="132">
        <v>487.2</v>
      </c>
      <c r="AG23" s="133">
        <v>434.0</v>
      </c>
      <c r="AH23" s="132">
        <v>35.7</v>
      </c>
      <c r="AI23" s="134">
        <v>64.6</v>
      </c>
      <c r="AJ23" s="1"/>
      <c r="AK23" s="9" t="s">
        <v>366</v>
      </c>
      <c r="AL23" s="138">
        <v>0.0</v>
      </c>
      <c r="AM23" s="133">
        <v>-259.0</v>
      </c>
      <c r="AN23" s="133">
        <v>-174.0</v>
      </c>
      <c r="AO23" s="135">
        <v>-171.0</v>
      </c>
      <c r="AP23" s="1"/>
      <c r="AQ23" s="9" t="s">
        <v>367</v>
      </c>
      <c r="AR23" s="133">
        <v>721312.0</v>
      </c>
      <c r="AS23" s="133">
        <v>818885.0</v>
      </c>
      <c r="AT23" s="133">
        <v>537877.0</v>
      </c>
      <c r="AU23" s="135">
        <v>1130500.0</v>
      </c>
    </row>
    <row r="24" ht="15.75" customHeight="1">
      <c r="A24" s="9" t="s">
        <v>62</v>
      </c>
      <c r="B24" s="33">
        <v>98.0</v>
      </c>
      <c r="C24" s="33">
        <v>136.0</v>
      </c>
      <c r="D24" s="33">
        <v>80.0</v>
      </c>
      <c r="E24" s="35">
        <v>84.0</v>
      </c>
      <c r="F24" s="1"/>
      <c r="G24" s="155" t="s">
        <v>368</v>
      </c>
      <c r="H24" s="156">
        <v>0.602</v>
      </c>
      <c r="I24" s="156" t="s">
        <v>369</v>
      </c>
      <c r="J24" s="156" t="s">
        <v>370</v>
      </c>
      <c r="K24" s="157" t="s">
        <v>362</v>
      </c>
      <c r="L24" s="1"/>
      <c r="M24" s="128" t="s">
        <v>75</v>
      </c>
      <c r="N24" s="133">
        <v>466.0</v>
      </c>
      <c r="O24" s="133">
        <v>429.0</v>
      </c>
      <c r="P24" s="133">
        <v>525.0</v>
      </c>
      <c r="Q24" s="135">
        <v>534.0</v>
      </c>
      <c r="R24" s="1"/>
      <c r="S24" s="1"/>
      <c r="T24" s="1"/>
      <c r="U24" s="1"/>
      <c r="V24" s="1"/>
      <c r="W24" s="1"/>
      <c r="X24" s="1"/>
      <c r="Y24" s="128" t="s">
        <v>337</v>
      </c>
      <c r="Z24" s="153">
        <v>3.22</v>
      </c>
      <c r="AA24" s="153">
        <v>3.33</v>
      </c>
      <c r="AB24" s="153">
        <v>2.34</v>
      </c>
      <c r="AC24" s="154">
        <v>1.84</v>
      </c>
      <c r="AD24" s="1"/>
      <c r="AE24" s="128" t="s">
        <v>371</v>
      </c>
      <c r="AF24" s="132">
        <v>21.2</v>
      </c>
      <c r="AG24" s="133">
        <v>24.0</v>
      </c>
      <c r="AH24" s="132">
        <v>29.2</v>
      </c>
      <c r="AI24" s="134">
        <v>29.7</v>
      </c>
      <c r="AJ24" s="1"/>
      <c r="AK24" s="9" t="s">
        <v>372</v>
      </c>
      <c r="AL24" s="138">
        <v>-85477.0</v>
      </c>
      <c r="AM24" s="138">
        <v>466437.0</v>
      </c>
      <c r="AN24" s="138">
        <v>474959.0</v>
      </c>
      <c r="AO24" s="139">
        <v>163949.0</v>
      </c>
      <c r="AP24" s="1"/>
      <c r="AQ24" s="9" t="s">
        <v>373</v>
      </c>
      <c r="AR24" s="133">
        <v>290874.0</v>
      </c>
      <c r="AS24" s="133">
        <v>295841.0</v>
      </c>
      <c r="AT24" s="133">
        <v>265432.0</v>
      </c>
      <c r="AU24" s="135">
        <v>463543.0</v>
      </c>
    </row>
    <row r="25" ht="15.75" customHeight="1">
      <c r="A25" s="9" t="s">
        <v>65</v>
      </c>
      <c r="B25" s="33">
        <v>2574.0</v>
      </c>
      <c r="C25" s="33">
        <v>3073.0</v>
      </c>
      <c r="D25" s="33">
        <v>2690.0</v>
      </c>
      <c r="E25" s="35">
        <v>2580.0</v>
      </c>
      <c r="F25" s="1"/>
      <c r="G25" s="1"/>
      <c r="H25" s="158"/>
      <c r="I25" s="158"/>
      <c r="J25" s="158"/>
      <c r="K25" s="158"/>
      <c r="L25" s="1"/>
      <c r="M25" s="128" t="s">
        <v>374</v>
      </c>
      <c r="N25" s="133">
        <v>767.0</v>
      </c>
      <c r="O25" s="133">
        <v>378.0</v>
      </c>
      <c r="P25" s="133">
        <v>397.0</v>
      </c>
      <c r="Q25" s="135">
        <v>667.0</v>
      </c>
      <c r="R25" s="1"/>
      <c r="S25" s="1"/>
      <c r="T25" s="1"/>
      <c r="U25" s="1"/>
      <c r="V25" s="1"/>
      <c r="W25" s="1"/>
      <c r="X25" s="1"/>
      <c r="Y25" s="128" t="s">
        <v>346</v>
      </c>
      <c r="Z25" s="153">
        <v>0.1</v>
      </c>
      <c r="AA25" s="133">
        <v>0.0</v>
      </c>
      <c r="AB25" s="153">
        <v>0.02</v>
      </c>
      <c r="AC25" s="154">
        <v>-0.03</v>
      </c>
      <c r="AD25" s="1"/>
      <c r="AE25" s="128" t="s">
        <v>311</v>
      </c>
      <c r="AF25" s="132">
        <v>959.9</v>
      </c>
      <c r="AG25" s="132">
        <v>865.6</v>
      </c>
      <c r="AH25" s="132">
        <v>764.6</v>
      </c>
      <c r="AI25" s="135">
        <v>771.0</v>
      </c>
      <c r="AJ25" s="1"/>
      <c r="AK25" s="9" t="s">
        <v>375</v>
      </c>
      <c r="AL25" s="133"/>
      <c r="AM25" s="130" t="s">
        <v>233</v>
      </c>
      <c r="AN25" s="130" t="s">
        <v>233</v>
      </c>
      <c r="AO25" s="131" t="s">
        <v>233</v>
      </c>
      <c r="AP25" s="1"/>
      <c r="AQ25" s="9" t="s">
        <v>376</v>
      </c>
      <c r="AR25" s="133">
        <v>90476.0</v>
      </c>
      <c r="AS25" s="133">
        <v>109830.0</v>
      </c>
      <c r="AT25" s="133">
        <v>63767.0</v>
      </c>
      <c r="AU25" s="135">
        <v>140912.0</v>
      </c>
    </row>
    <row r="26" ht="15.75" customHeight="1">
      <c r="A26" s="9" t="s">
        <v>66</v>
      </c>
      <c r="B26" s="33">
        <v>523.0</v>
      </c>
      <c r="C26" s="33">
        <v>471.0</v>
      </c>
      <c r="D26" s="33">
        <v>396.0</v>
      </c>
      <c r="E26" s="35">
        <v>399.0</v>
      </c>
      <c r="F26" s="1"/>
      <c r="G26" s="1"/>
      <c r="H26" s="159"/>
      <c r="I26" s="159"/>
      <c r="J26" s="159"/>
      <c r="K26" s="159"/>
      <c r="L26" s="1"/>
      <c r="M26" s="128" t="s">
        <v>101</v>
      </c>
      <c r="N26" s="133">
        <v>14702.0</v>
      </c>
      <c r="O26" s="133">
        <v>13760.0</v>
      </c>
      <c r="P26" s="133">
        <v>13371.0</v>
      </c>
      <c r="Q26" s="135">
        <v>13005.0</v>
      </c>
      <c r="R26" s="1"/>
      <c r="S26" s="1"/>
      <c r="T26" s="1"/>
      <c r="U26" s="1"/>
      <c r="V26" s="1"/>
      <c r="W26" s="1"/>
      <c r="X26" s="1"/>
      <c r="Y26" s="128" t="s">
        <v>377</v>
      </c>
      <c r="Z26" s="140">
        <v>3.32</v>
      </c>
      <c r="AA26" s="140">
        <v>3.33</v>
      </c>
      <c r="AB26" s="140">
        <v>2.36</v>
      </c>
      <c r="AC26" s="141">
        <v>1.81</v>
      </c>
      <c r="AD26" s="1"/>
      <c r="AE26" s="128" t="s">
        <v>378</v>
      </c>
      <c r="AF26" s="132">
        <v>10.2</v>
      </c>
      <c r="AG26" s="132">
        <v>14.7</v>
      </c>
      <c r="AH26" s="132">
        <v>23.1</v>
      </c>
      <c r="AI26" s="134">
        <v>42.6</v>
      </c>
      <c r="AJ26" s="1"/>
      <c r="AK26" s="9" t="s">
        <v>379</v>
      </c>
      <c r="AL26" s="133">
        <v>99608.0</v>
      </c>
      <c r="AM26" s="133">
        <v>97991.0</v>
      </c>
      <c r="AN26" s="133">
        <v>98294.0</v>
      </c>
      <c r="AO26" s="135">
        <v>98637.0</v>
      </c>
      <c r="AP26" s="1"/>
      <c r="AQ26" s="9" t="s">
        <v>380</v>
      </c>
      <c r="AR26" s="133">
        <v>411557.0</v>
      </c>
      <c r="AS26" s="133">
        <v>502440.0</v>
      </c>
      <c r="AT26" s="133">
        <v>38934.0</v>
      </c>
      <c r="AU26" s="135">
        <v>2054525.0</v>
      </c>
    </row>
    <row r="27" ht="15.75" customHeight="1">
      <c r="A27" s="9" t="s">
        <v>68</v>
      </c>
      <c r="B27" s="33">
        <v>1145.0</v>
      </c>
      <c r="C27" s="33">
        <v>1344.0</v>
      </c>
      <c r="D27" s="33">
        <v>1297.0</v>
      </c>
      <c r="E27" s="35">
        <v>1186.0</v>
      </c>
      <c r="F27" s="1"/>
      <c r="G27" s="1"/>
      <c r="H27" s="159"/>
      <c r="I27" s="159"/>
      <c r="J27" s="159"/>
      <c r="K27" s="159"/>
      <c r="L27" s="1"/>
      <c r="M27" s="125" t="s">
        <v>382</v>
      </c>
      <c r="N27" s="130" t="s">
        <v>233</v>
      </c>
      <c r="O27" s="130" t="s">
        <v>233</v>
      </c>
      <c r="P27" s="130" t="s">
        <v>233</v>
      </c>
      <c r="Q27" s="131" t="s">
        <v>233</v>
      </c>
      <c r="R27" s="1"/>
      <c r="S27" s="1"/>
      <c r="T27" s="1"/>
      <c r="U27" s="1"/>
      <c r="V27" s="1"/>
      <c r="W27" s="1"/>
      <c r="X27" s="1"/>
      <c r="Y27" s="125" t="s">
        <v>384</v>
      </c>
      <c r="Z27" s="130" t="s">
        <v>233</v>
      </c>
      <c r="AA27" s="130" t="s">
        <v>233</v>
      </c>
      <c r="AB27" s="130" t="s">
        <v>233</v>
      </c>
      <c r="AC27" s="131" t="s">
        <v>233</v>
      </c>
      <c r="AD27" s="1"/>
      <c r="AE27" s="128" t="s">
        <v>386</v>
      </c>
      <c r="AF27" s="132">
        <v>22.7</v>
      </c>
      <c r="AG27" s="132">
        <v>19.9</v>
      </c>
      <c r="AH27" s="132">
        <v>28.7</v>
      </c>
      <c r="AI27" s="134">
        <v>53.3</v>
      </c>
      <c r="AJ27" s="1"/>
      <c r="AK27" s="9" t="s">
        <v>387</v>
      </c>
      <c r="AL27" s="133">
        <v>0.0</v>
      </c>
      <c r="AM27" s="133">
        <v>741.0</v>
      </c>
      <c r="AN27" s="133">
        <v>596.0</v>
      </c>
      <c r="AO27" s="135">
        <v>653.0</v>
      </c>
      <c r="AP27" s="1"/>
      <c r="AQ27" s="9" t="s">
        <v>388</v>
      </c>
      <c r="AR27" s="133">
        <v>11544.0</v>
      </c>
      <c r="AS27" s="133">
        <v>16905.0</v>
      </c>
      <c r="AT27" s="133">
        <v>10863.0</v>
      </c>
      <c r="AU27" s="135">
        <v>6755.0</v>
      </c>
    </row>
    <row r="28" ht="15.75" customHeight="1">
      <c r="A28" s="18" t="s">
        <v>70</v>
      </c>
      <c r="B28" s="28">
        <v>4345.0</v>
      </c>
      <c r="C28" s="28">
        <v>5103.0</v>
      </c>
      <c r="D28" s="28">
        <v>4476.0</v>
      </c>
      <c r="E28" s="30">
        <v>4261.0</v>
      </c>
      <c r="F28" s="1"/>
      <c r="G28" s="1"/>
      <c r="H28" s="1"/>
      <c r="I28" s="1"/>
      <c r="J28" s="1"/>
      <c r="K28" s="1"/>
      <c r="L28" s="1"/>
      <c r="M28" s="128" t="s">
        <v>390</v>
      </c>
      <c r="N28" s="133">
        <v>1.0</v>
      </c>
      <c r="O28" s="133">
        <v>1.0</v>
      </c>
      <c r="P28" s="133">
        <v>1.0</v>
      </c>
      <c r="Q28" s="135">
        <v>1.0</v>
      </c>
      <c r="R28" s="1"/>
      <c r="S28" s="1"/>
      <c r="T28" s="1"/>
      <c r="U28" s="1"/>
      <c r="V28" s="1"/>
      <c r="W28" s="1"/>
      <c r="X28" s="1"/>
      <c r="Y28" s="128" t="s">
        <v>379</v>
      </c>
      <c r="Z28" s="132">
        <v>150.9</v>
      </c>
      <c r="AA28" s="132">
        <v>145.9</v>
      </c>
      <c r="AB28" s="132">
        <v>144.4</v>
      </c>
      <c r="AC28" s="134">
        <v>145.5</v>
      </c>
      <c r="AD28" s="1"/>
      <c r="AE28" s="128" t="s">
        <v>392</v>
      </c>
      <c r="AF28" s="132">
        <v>504.8</v>
      </c>
      <c r="AG28" s="133">
        <v>717.0</v>
      </c>
      <c r="AH28" s="133">
        <v>487.0</v>
      </c>
      <c r="AI28" s="134">
        <v>533.8</v>
      </c>
      <c r="AJ28" s="1"/>
      <c r="AK28" s="9" t="s">
        <v>393</v>
      </c>
      <c r="AL28" s="133">
        <v>99608.0</v>
      </c>
      <c r="AM28" s="133">
        <v>98732.0</v>
      </c>
      <c r="AN28" s="133">
        <v>98890.0</v>
      </c>
      <c r="AO28" s="135">
        <v>99290.0</v>
      </c>
      <c r="AP28" s="1"/>
      <c r="AQ28" s="9" t="s">
        <v>394</v>
      </c>
      <c r="AR28" s="133" t="s">
        <v>28</v>
      </c>
      <c r="AS28" s="133" t="s">
        <v>28</v>
      </c>
      <c r="AT28" s="133">
        <v>248404.0</v>
      </c>
      <c r="AU28" s="135">
        <v>242056.0</v>
      </c>
    </row>
    <row r="29" ht="15.75" customHeight="1">
      <c r="A29" s="9" t="s">
        <v>71</v>
      </c>
      <c r="B29" s="33"/>
      <c r="C29" s="33"/>
      <c r="D29" s="33"/>
      <c r="E29" s="35"/>
      <c r="F29" s="1"/>
      <c r="G29" s="1"/>
      <c r="H29" s="1"/>
      <c r="I29" s="1"/>
      <c r="J29" s="1"/>
      <c r="K29" s="1"/>
      <c r="L29" s="1"/>
      <c r="M29" s="128" t="s">
        <v>124</v>
      </c>
      <c r="N29" s="133">
        <v>1134.0</v>
      </c>
      <c r="O29" s="133">
        <v>1177.0</v>
      </c>
      <c r="P29" s="133">
        <v>1231.0</v>
      </c>
      <c r="Q29" s="135">
        <v>1321.0</v>
      </c>
      <c r="R29" s="1"/>
      <c r="S29" s="1"/>
      <c r="T29" s="1"/>
      <c r="U29" s="1"/>
      <c r="V29" s="1"/>
      <c r="W29" s="1"/>
      <c r="X29" s="1"/>
      <c r="Y29" s="142" t="s">
        <v>393</v>
      </c>
      <c r="Z29" s="160">
        <v>152.4</v>
      </c>
      <c r="AA29" s="160">
        <v>147.4</v>
      </c>
      <c r="AB29" s="160">
        <v>144.9</v>
      </c>
      <c r="AC29" s="161">
        <v>146.0</v>
      </c>
      <c r="AD29" s="1"/>
      <c r="AE29" s="125" t="s">
        <v>70</v>
      </c>
      <c r="AF29" s="132">
        <v>2007.3</v>
      </c>
      <c r="AG29" s="132">
        <v>2081.8</v>
      </c>
      <c r="AH29" s="133">
        <v>1509.0</v>
      </c>
      <c r="AI29" s="134">
        <v>1635.5</v>
      </c>
      <c r="AJ29" s="1"/>
      <c r="AK29" s="9" t="s">
        <v>398</v>
      </c>
      <c r="AL29" s="12"/>
      <c r="AM29" s="130" t="s">
        <v>233</v>
      </c>
      <c r="AN29" s="130" t="s">
        <v>233</v>
      </c>
      <c r="AO29" s="131" t="s">
        <v>233</v>
      </c>
      <c r="AP29" s="1"/>
      <c r="AQ29" s="18" t="s">
        <v>399</v>
      </c>
      <c r="AR29" s="136">
        <v>1525763.0</v>
      </c>
      <c r="AS29" s="136">
        <v>1743901.0</v>
      </c>
      <c r="AT29" s="136">
        <v>1165277.0</v>
      </c>
      <c r="AU29" s="137">
        <v>4038291.0</v>
      </c>
    </row>
    <row r="30" ht="15.75" customHeight="1">
      <c r="A30" s="9" t="s">
        <v>73</v>
      </c>
      <c r="B30" s="33">
        <v>6186.0</v>
      </c>
      <c r="C30" s="33">
        <v>6340.0</v>
      </c>
      <c r="D30" s="33">
        <v>6653.0</v>
      </c>
      <c r="E30" s="35">
        <v>6603.0</v>
      </c>
      <c r="F30" s="1"/>
      <c r="G30" s="1"/>
      <c r="H30" s="1"/>
      <c r="I30" s="1"/>
      <c r="J30" s="1"/>
      <c r="K30" s="1"/>
      <c r="L30" s="1"/>
      <c r="M30" s="128" t="s">
        <v>130</v>
      </c>
      <c r="N30" s="133">
        <v>2341.0</v>
      </c>
      <c r="O30" s="133">
        <v>2421.0</v>
      </c>
      <c r="P30" s="133">
        <v>2320.0</v>
      </c>
      <c r="Q30" s="135">
        <v>2581.0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28" t="s">
        <v>402</v>
      </c>
      <c r="AF30" s="132">
        <v>3219.6</v>
      </c>
      <c r="AG30" s="132">
        <v>3237.9</v>
      </c>
      <c r="AH30" s="132">
        <v>4513.9</v>
      </c>
      <c r="AI30" s="134">
        <v>4198.8</v>
      </c>
      <c r="AJ30" s="1"/>
      <c r="AK30" s="9" t="s">
        <v>403</v>
      </c>
      <c r="AL30" s="44" t="s">
        <v>28</v>
      </c>
      <c r="AM30" s="140">
        <v>3.86</v>
      </c>
      <c r="AN30" s="140">
        <v>3.85</v>
      </c>
      <c r="AO30" s="141">
        <v>0.69</v>
      </c>
      <c r="AP30" s="1"/>
      <c r="AQ30" s="9" t="s">
        <v>404</v>
      </c>
      <c r="AR30" s="133">
        <v>1199106.0</v>
      </c>
      <c r="AS30" s="133">
        <v>2719783.0</v>
      </c>
      <c r="AT30" s="133">
        <v>2998002.0</v>
      </c>
      <c r="AU30" s="135">
        <v>4985496.0</v>
      </c>
    </row>
    <row r="31" ht="15.75" customHeight="1">
      <c r="A31" s="9" t="s">
        <v>75</v>
      </c>
      <c r="B31" s="33">
        <v>462.0</v>
      </c>
      <c r="C31" s="33">
        <v>493.0</v>
      </c>
      <c r="D31" s="33">
        <v>463.0</v>
      </c>
      <c r="E31" s="35">
        <v>488.0</v>
      </c>
      <c r="F31" s="1"/>
      <c r="G31" s="1"/>
      <c r="H31" s="1"/>
      <c r="I31" s="1"/>
      <c r="J31" s="1"/>
      <c r="K31" s="1"/>
      <c r="L31" s="1"/>
      <c r="M31" s="128" t="s">
        <v>131</v>
      </c>
      <c r="N31" s="133">
        <v>-296.0</v>
      </c>
      <c r="O31" s="133">
        <v>-403.0</v>
      </c>
      <c r="P31" s="133">
        <v>-336.0</v>
      </c>
      <c r="Q31" s="135">
        <v>-295.0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28" t="s">
        <v>407</v>
      </c>
      <c r="AF31" s="132">
        <v>44.5</v>
      </c>
      <c r="AG31" s="132">
        <v>49.6</v>
      </c>
      <c r="AH31" s="132">
        <v>66.7</v>
      </c>
      <c r="AI31" s="134">
        <v>74.8</v>
      </c>
      <c r="AJ31" s="1"/>
      <c r="AK31" s="9" t="s">
        <v>408</v>
      </c>
      <c r="AL31" s="44" t="s">
        <v>28</v>
      </c>
      <c r="AM31" s="153">
        <v>0.9</v>
      </c>
      <c r="AN31" s="153">
        <v>0.98</v>
      </c>
      <c r="AO31" s="154">
        <v>0.97</v>
      </c>
      <c r="AP31" s="1"/>
      <c r="AQ31" s="9" t="s">
        <v>409</v>
      </c>
      <c r="AR31" s="133">
        <v>234167.0</v>
      </c>
      <c r="AS31" s="133">
        <v>250994.0</v>
      </c>
      <c r="AT31" s="133">
        <v>192703.0</v>
      </c>
      <c r="AU31" s="135">
        <v>258735.0</v>
      </c>
    </row>
    <row r="32" ht="15.75" customHeight="1">
      <c r="A32" s="9" t="s">
        <v>81</v>
      </c>
      <c r="B32" s="33">
        <v>696.0</v>
      </c>
      <c r="C32" s="33">
        <v>677.0</v>
      </c>
      <c r="D32" s="33">
        <v>616.0</v>
      </c>
      <c r="E32" s="35">
        <v>584.0</v>
      </c>
      <c r="F32" s="1"/>
      <c r="G32" s="1"/>
      <c r="H32" s="1"/>
      <c r="I32" s="1"/>
      <c r="J32" s="1"/>
      <c r="K32" s="1"/>
      <c r="L32" s="1"/>
      <c r="M32" s="128" t="s">
        <v>411</v>
      </c>
      <c r="N32" s="133">
        <v>3180.0</v>
      </c>
      <c r="O32" s="133">
        <v>3196.0</v>
      </c>
      <c r="P32" s="133">
        <v>3216.0</v>
      </c>
      <c r="Q32" s="135">
        <v>3608.0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28" t="s">
        <v>314</v>
      </c>
      <c r="AF32" s="132">
        <v>46.7</v>
      </c>
      <c r="AG32" s="132">
        <v>33.4</v>
      </c>
      <c r="AH32" s="132">
        <v>35.8</v>
      </c>
      <c r="AI32" s="134">
        <v>26.1</v>
      </c>
      <c r="AJ32" s="1"/>
      <c r="AK32" s="9" t="s">
        <v>412</v>
      </c>
      <c r="AL32" s="44" t="s">
        <v>28</v>
      </c>
      <c r="AM32" s="153">
        <v>4.76</v>
      </c>
      <c r="AN32" s="153">
        <v>4.83</v>
      </c>
      <c r="AO32" s="154">
        <v>1.66</v>
      </c>
      <c r="AP32" s="1"/>
      <c r="AQ32" s="9" t="s">
        <v>413</v>
      </c>
      <c r="AR32" s="133">
        <v>158265.0</v>
      </c>
      <c r="AS32" s="133">
        <v>120084.0</v>
      </c>
      <c r="AT32" s="133">
        <v>142784.0</v>
      </c>
      <c r="AU32" s="135">
        <v>180827.0</v>
      </c>
    </row>
    <row r="33" ht="15.75" customHeight="1">
      <c r="A33" s="9" t="s">
        <v>87</v>
      </c>
      <c r="B33" s="33">
        <v>307.0</v>
      </c>
      <c r="C33" s="33">
        <v>201.0</v>
      </c>
      <c r="D33" s="33">
        <v>224.0</v>
      </c>
      <c r="E33" s="35">
        <v>217.0</v>
      </c>
      <c r="F33" s="1"/>
      <c r="G33" s="1"/>
      <c r="H33" s="1"/>
      <c r="I33" s="1"/>
      <c r="J33" s="1"/>
      <c r="K33" s="1"/>
      <c r="L33" s="1"/>
      <c r="M33" s="142" t="s">
        <v>414</v>
      </c>
      <c r="N33" s="162">
        <v>17882.0</v>
      </c>
      <c r="O33" s="162">
        <v>16956.0</v>
      </c>
      <c r="P33" s="162">
        <v>16587.0</v>
      </c>
      <c r="Q33" s="163">
        <v>16613.0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28" t="s">
        <v>415</v>
      </c>
      <c r="AF33" s="132">
        <v>0.9</v>
      </c>
      <c r="AG33" s="132">
        <v>0.0</v>
      </c>
      <c r="AH33" s="132">
        <v>0.0</v>
      </c>
      <c r="AI33" s="134">
        <v>0.0</v>
      </c>
      <c r="AJ33" s="1"/>
      <c r="AK33" s="9" t="s">
        <v>416</v>
      </c>
      <c r="AL33" s="44" t="s">
        <v>28</v>
      </c>
      <c r="AM33" s="130" t="s">
        <v>233</v>
      </c>
      <c r="AN33" s="130" t="s">
        <v>233</v>
      </c>
      <c r="AO33" s="131" t="s">
        <v>233</v>
      </c>
      <c r="AP33" s="1"/>
      <c r="AQ33" s="9" t="s">
        <v>417</v>
      </c>
      <c r="AR33" s="133">
        <v>70482.0</v>
      </c>
      <c r="AS33" s="133">
        <v>107293.0</v>
      </c>
      <c r="AT33" s="133">
        <v>93854.0</v>
      </c>
      <c r="AU33" s="135">
        <v>583470.0</v>
      </c>
    </row>
    <row r="34" ht="15.75" customHeight="1">
      <c r="A34" s="9" t="s">
        <v>94</v>
      </c>
      <c r="B34" s="33">
        <v>371.0</v>
      </c>
      <c r="C34" s="33">
        <v>471.0</v>
      </c>
      <c r="D34" s="33">
        <v>481.0</v>
      </c>
      <c r="E34" s="35">
        <v>418.0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28" t="s">
        <v>418</v>
      </c>
      <c r="AF34" s="132">
        <v>661.6</v>
      </c>
      <c r="AG34" s="132">
        <v>467.9</v>
      </c>
      <c r="AH34" s="132">
        <v>525.7</v>
      </c>
      <c r="AI34" s="134">
        <v>462.4</v>
      </c>
      <c r="AJ34" s="1"/>
      <c r="AK34" s="9" t="s">
        <v>403</v>
      </c>
      <c r="AL34" s="44" t="s">
        <v>28</v>
      </c>
      <c r="AM34" s="153">
        <v>3.83</v>
      </c>
      <c r="AN34" s="153">
        <v>3.83</v>
      </c>
      <c r="AO34" s="154">
        <v>0.68</v>
      </c>
      <c r="AP34" s="1"/>
      <c r="AQ34" s="9" t="s">
        <v>419</v>
      </c>
      <c r="AR34" s="133">
        <v>35911.0</v>
      </c>
      <c r="AS34" s="133">
        <v>38088.0</v>
      </c>
      <c r="AT34" s="133">
        <v>49362.0</v>
      </c>
      <c r="AU34" s="135">
        <v>60847.0</v>
      </c>
    </row>
    <row r="35" ht="15.75" customHeight="1">
      <c r="A35" s="9" t="s">
        <v>97</v>
      </c>
      <c r="B35" s="33">
        <v>8022.0</v>
      </c>
      <c r="C35" s="33">
        <v>8182.0</v>
      </c>
      <c r="D35" s="33">
        <v>8437.0</v>
      </c>
      <c r="E35" s="35">
        <v>8310.0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25" t="s">
        <v>101</v>
      </c>
      <c r="AF35" s="148">
        <v>5980.6</v>
      </c>
      <c r="AG35" s="132">
        <v>5870.6</v>
      </c>
      <c r="AH35" s="132">
        <v>6651.1</v>
      </c>
      <c r="AI35" s="134">
        <v>6397.6</v>
      </c>
      <c r="AJ35" s="1"/>
      <c r="AK35" s="9" t="s">
        <v>420</v>
      </c>
      <c r="AL35" s="44" t="s">
        <v>28</v>
      </c>
      <c r="AM35" s="153">
        <v>0.89</v>
      </c>
      <c r="AN35" s="153">
        <v>0.97</v>
      </c>
      <c r="AO35" s="154">
        <v>0.97</v>
      </c>
      <c r="AP35" s="1"/>
      <c r="AQ35" s="9" t="s">
        <v>421</v>
      </c>
      <c r="AR35" s="133" t="s">
        <v>28</v>
      </c>
      <c r="AS35" s="133" t="s">
        <v>28</v>
      </c>
      <c r="AT35" s="133">
        <v>118140.0</v>
      </c>
      <c r="AU35" s="135">
        <v>113911.0</v>
      </c>
    </row>
    <row r="36" ht="15.75" customHeight="1">
      <c r="A36" s="18" t="s">
        <v>101</v>
      </c>
      <c r="B36" s="28">
        <v>12367.0</v>
      </c>
      <c r="C36" s="28">
        <v>13285.0</v>
      </c>
      <c r="D36" s="28">
        <v>12913.0</v>
      </c>
      <c r="E36" s="30">
        <v>12571.0</v>
      </c>
      <c r="F36" s="1"/>
      <c r="G36" s="1"/>
      <c r="H36" s="1"/>
      <c r="I36" s="1"/>
      <c r="J36" s="1"/>
      <c r="K36" s="1"/>
      <c r="L36" s="1"/>
      <c r="M36" s="16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28" t="s">
        <v>422</v>
      </c>
      <c r="AF36" s="12"/>
      <c r="AG36" s="12"/>
      <c r="AH36" s="130" t="s">
        <v>423</v>
      </c>
      <c r="AI36" s="131" t="s">
        <v>423</v>
      </c>
      <c r="AJ36" s="1"/>
      <c r="AK36" s="45" t="s">
        <v>425</v>
      </c>
      <c r="AL36" s="165" t="s">
        <v>28</v>
      </c>
      <c r="AM36" s="144">
        <v>4.72</v>
      </c>
      <c r="AN36" s="144">
        <v>4.8</v>
      </c>
      <c r="AO36" s="145">
        <v>1.65</v>
      </c>
      <c r="AP36" s="1"/>
      <c r="AQ36" s="18" t="s">
        <v>426</v>
      </c>
      <c r="AR36" s="136">
        <v>3223694.0</v>
      </c>
      <c r="AS36" s="136">
        <v>4980143.0</v>
      </c>
      <c r="AT36" s="136">
        <v>4760122.0</v>
      </c>
      <c r="AU36" s="137">
        <v>1.0221577E7</v>
      </c>
    </row>
    <row r="37" ht="15.75" customHeight="1">
      <c r="A37" s="9" t="s">
        <v>104</v>
      </c>
      <c r="B37" s="33"/>
      <c r="C37" s="33"/>
      <c r="D37" s="33"/>
      <c r="E37" s="3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25" t="s">
        <v>429</v>
      </c>
      <c r="AF37" s="12"/>
      <c r="AG37" s="12"/>
      <c r="AH37" s="130"/>
      <c r="AI37" s="131"/>
      <c r="AJ37" s="1"/>
      <c r="AK37" s="1"/>
      <c r="AL37" s="1"/>
      <c r="AM37" s="1"/>
      <c r="AN37" s="1"/>
      <c r="AO37" s="1"/>
      <c r="AP37" s="1"/>
      <c r="AQ37" s="9" t="s">
        <v>430</v>
      </c>
      <c r="AR37" s="133"/>
      <c r="AS37" s="133"/>
      <c r="AT37" s="130" t="s">
        <v>423</v>
      </c>
      <c r="AU37" s="131" t="s">
        <v>423</v>
      </c>
    </row>
    <row r="38" ht="15.75" customHeight="1">
      <c r="A38" s="9" t="s">
        <v>111</v>
      </c>
      <c r="B38" s="33"/>
      <c r="C38" s="33"/>
      <c r="D38" s="33"/>
      <c r="E38" s="3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28" t="s">
        <v>433</v>
      </c>
      <c r="AF38" s="133">
        <v>0.0</v>
      </c>
      <c r="AG38" s="133">
        <v>0.0</v>
      </c>
      <c r="AH38" s="133">
        <v>0.0</v>
      </c>
      <c r="AI38" s="135">
        <v>0.0</v>
      </c>
      <c r="AJ38" s="1"/>
      <c r="AK38" s="1"/>
      <c r="AL38" s="1"/>
      <c r="AM38" s="1"/>
      <c r="AN38" s="1"/>
      <c r="AO38" s="1"/>
      <c r="AP38" s="1"/>
      <c r="AQ38" s="9" t="s">
        <v>434</v>
      </c>
      <c r="AR38" s="133"/>
      <c r="AS38" s="133"/>
      <c r="AT38" s="130" t="s">
        <v>233</v>
      </c>
      <c r="AU38" s="131" t="s">
        <v>233</v>
      </c>
    </row>
    <row r="39" ht="15.75" customHeight="1">
      <c r="A39" s="9" t="s">
        <v>118</v>
      </c>
      <c r="B39" s="33">
        <v>15.0</v>
      </c>
      <c r="C39" s="33">
        <v>15.0</v>
      </c>
      <c r="D39" s="33">
        <v>14.0</v>
      </c>
      <c r="E39" s="35">
        <v>14.0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28" t="s">
        <v>437</v>
      </c>
      <c r="AF39" s="132">
        <v>23.2</v>
      </c>
      <c r="AG39" s="132">
        <v>23.3</v>
      </c>
      <c r="AH39" s="132">
        <v>15.4</v>
      </c>
      <c r="AI39" s="134">
        <v>15.5</v>
      </c>
      <c r="AJ39" s="1"/>
      <c r="AK39" s="1"/>
      <c r="AL39" s="1"/>
      <c r="AM39" s="1"/>
      <c r="AN39" s="1"/>
      <c r="AO39" s="1"/>
      <c r="AP39" s="1"/>
      <c r="AQ39" s="9" t="s">
        <v>438</v>
      </c>
      <c r="AR39" s="133"/>
      <c r="AS39" s="133"/>
      <c r="AT39" s="130" t="s">
        <v>423</v>
      </c>
      <c r="AU39" s="131" t="s">
        <v>423</v>
      </c>
    </row>
    <row r="40" ht="15.75" customHeight="1">
      <c r="A40" s="9" t="s">
        <v>124</v>
      </c>
      <c r="B40" s="33">
        <v>5092.0</v>
      </c>
      <c r="C40" s="33">
        <v>4431.0</v>
      </c>
      <c r="D40" s="33">
        <v>4021.0</v>
      </c>
      <c r="E40" s="35">
        <v>4019.0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28" t="s">
        <v>124</v>
      </c>
      <c r="AF40" s="132">
        <v>2123.4</v>
      </c>
      <c r="AG40" s="132">
        <v>2155.3</v>
      </c>
      <c r="AH40" s="132">
        <v>1429.5</v>
      </c>
      <c r="AI40" s="134">
        <v>1445.7</v>
      </c>
      <c r="AJ40" s="1"/>
      <c r="AK40" s="1"/>
      <c r="AL40" s="1"/>
      <c r="AM40" s="1"/>
      <c r="AN40" s="1"/>
      <c r="AO40" s="1"/>
      <c r="AP40" s="1"/>
      <c r="AQ40" s="9" t="s">
        <v>441</v>
      </c>
      <c r="AR40" s="133">
        <v>7175.0</v>
      </c>
      <c r="AS40" s="133">
        <v>7175.0</v>
      </c>
      <c r="AT40" s="133">
        <v>7175.0</v>
      </c>
      <c r="AU40" s="135">
        <v>7175.0</v>
      </c>
    </row>
    <row r="41" ht="15.75" customHeight="1">
      <c r="A41" s="18" t="s">
        <v>130</v>
      </c>
      <c r="B41" s="28">
        <v>452.0</v>
      </c>
      <c r="C41" s="28">
        <v>534.0</v>
      </c>
      <c r="D41" s="28">
        <v>865.0</v>
      </c>
      <c r="E41" s="30">
        <v>879.0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28" t="s">
        <v>130</v>
      </c>
      <c r="AF41" s="132">
        <v>2790.7</v>
      </c>
      <c r="AG41" s="132">
        <v>3163.4</v>
      </c>
      <c r="AH41" s="132">
        <v>496.5</v>
      </c>
      <c r="AI41" s="134">
        <v>643.4</v>
      </c>
      <c r="AJ41" s="1"/>
      <c r="AK41" s="1"/>
      <c r="AL41" s="1"/>
      <c r="AM41" s="1"/>
      <c r="AN41" s="1"/>
      <c r="AO41" s="1"/>
      <c r="AP41" s="1"/>
      <c r="AQ41" s="9" t="s">
        <v>444</v>
      </c>
      <c r="AR41" s="133">
        <v>119690.0</v>
      </c>
      <c r="AS41" s="133">
        <v>140539.0</v>
      </c>
      <c r="AT41" s="133">
        <v>159047.0</v>
      </c>
      <c r="AU41" s="135">
        <v>183250.0</v>
      </c>
    </row>
    <row r="42" ht="15.75" customHeight="1">
      <c r="A42" s="9" t="s">
        <v>131</v>
      </c>
      <c r="B42" s="33">
        <v>-766.0</v>
      </c>
      <c r="C42" s="33">
        <v>-880.0</v>
      </c>
      <c r="D42" s="33">
        <v>-862.0</v>
      </c>
      <c r="E42" s="35">
        <v>-1020.0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28"/>
      <c r="AF42" s="132"/>
      <c r="AG42" s="132"/>
      <c r="AH42" s="132"/>
      <c r="AI42" s="134"/>
      <c r="AJ42" s="1"/>
      <c r="AK42" s="1"/>
      <c r="AL42" s="1"/>
      <c r="AM42" s="1"/>
      <c r="AN42" s="1"/>
      <c r="AO42" s="1"/>
      <c r="AP42" s="1"/>
      <c r="AQ42" s="9"/>
      <c r="AR42" s="133"/>
      <c r="AS42" s="133"/>
      <c r="AT42" s="133"/>
      <c r="AU42" s="135"/>
    </row>
    <row r="43" ht="15.75" customHeight="1">
      <c r="A43" s="9" t="s">
        <v>134</v>
      </c>
      <c r="B43" s="33">
        <v>-29.0</v>
      </c>
      <c r="C43" s="33">
        <v>-18.0</v>
      </c>
      <c r="D43" s="33">
        <v>-12.0</v>
      </c>
      <c r="E43" s="35">
        <v>-11.0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28"/>
      <c r="AF43" s="132"/>
      <c r="AG43" s="132"/>
      <c r="AH43" s="132"/>
      <c r="AI43" s="134"/>
      <c r="AJ43" s="1"/>
      <c r="AK43" s="1"/>
      <c r="AL43" s="1"/>
      <c r="AM43" s="1"/>
      <c r="AN43" s="1"/>
      <c r="AO43" s="1"/>
      <c r="AP43" s="1"/>
      <c r="AQ43" s="9"/>
      <c r="AR43" s="133"/>
      <c r="AS43" s="133"/>
      <c r="AT43" s="133"/>
      <c r="AU43" s="135"/>
    </row>
    <row r="44" ht="15.75" customHeight="1">
      <c r="A44" s="9" t="s">
        <v>135</v>
      </c>
      <c r="B44" s="33">
        <v>4764.0</v>
      </c>
      <c r="C44" s="33">
        <v>4082.0</v>
      </c>
      <c r="D44" s="33">
        <v>4026.0</v>
      </c>
      <c r="E44" s="35">
        <v>3881.0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28"/>
      <c r="AF44" s="132"/>
      <c r="AG44" s="132"/>
      <c r="AH44" s="132"/>
      <c r="AI44" s="134"/>
      <c r="AJ44" s="1"/>
      <c r="AK44" s="1"/>
      <c r="AL44" s="1"/>
      <c r="AM44" s="1"/>
      <c r="AN44" s="1"/>
      <c r="AO44" s="1"/>
      <c r="AP44" s="1"/>
      <c r="AQ44" s="9"/>
      <c r="AR44" s="133"/>
      <c r="AS44" s="133"/>
      <c r="AT44" s="133"/>
      <c r="AU44" s="135"/>
    </row>
    <row r="45" ht="15.75" customHeight="1">
      <c r="A45" s="9" t="s">
        <v>137</v>
      </c>
      <c r="B45" s="33">
        <v>57.0</v>
      </c>
      <c r="C45" s="33">
        <v>59.0</v>
      </c>
      <c r="D45" s="33">
        <v>64.0</v>
      </c>
      <c r="E45" s="35">
        <v>72.0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28"/>
      <c r="AF45" s="132"/>
      <c r="AG45" s="132"/>
      <c r="AH45" s="132"/>
      <c r="AI45" s="134"/>
      <c r="AJ45" s="1"/>
      <c r="AK45" s="1"/>
      <c r="AL45" s="1"/>
      <c r="AM45" s="1"/>
      <c r="AN45" s="1"/>
      <c r="AO45" s="1"/>
      <c r="AP45" s="1"/>
      <c r="AQ45" s="9"/>
      <c r="AR45" s="133"/>
      <c r="AS45" s="133"/>
      <c r="AT45" s="133"/>
      <c r="AU45" s="135"/>
    </row>
    <row r="46" ht="15.75" customHeight="1">
      <c r="A46" s="18" t="s">
        <v>143</v>
      </c>
      <c r="B46" s="28">
        <v>4821.0</v>
      </c>
      <c r="C46" s="28">
        <v>4141.0</v>
      </c>
      <c r="D46" s="28">
        <v>4090.0</v>
      </c>
      <c r="E46" s="30">
        <v>3953.0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28"/>
      <c r="AF46" s="132"/>
      <c r="AG46" s="132"/>
      <c r="AH46" s="132"/>
      <c r="AI46" s="134"/>
      <c r="AJ46" s="1"/>
      <c r="AK46" s="1"/>
      <c r="AL46" s="1"/>
      <c r="AM46" s="1"/>
      <c r="AN46" s="1"/>
      <c r="AO46" s="1"/>
      <c r="AP46" s="1"/>
      <c r="AQ46" s="9"/>
      <c r="AR46" s="133"/>
      <c r="AS46" s="133"/>
      <c r="AT46" s="133"/>
      <c r="AU46" s="135"/>
    </row>
    <row r="47" ht="15.75" customHeight="1">
      <c r="A47" s="45" t="s">
        <v>148</v>
      </c>
      <c r="B47" s="107">
        <v>17188.0</v>
      </c>
      <c r="C47" s="107">
        <v>17426.0</v>
      </c>
      <c r="D47" s="107">
        <v>17003.0</v>
      </c>
      <c r="E47" s="108">
        <v>16524.0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28"/>
      <c r="AF47" s="132"/>
      <c r="AG47" s="132"/>
      <c r="AH47" s="132"/>
      <c r="AI47" s="134"/>
      <c r="AJ47" s="1"/>
      <c r="AK47" s="1"/>
      <c r="AL47" s="1"/>
      <c r="AM47" s="1"/>
      <c r="AN47" s="1"/>
      <c r="AO47" s="1"/>
      <c r="AP47" s="1"/>
      <c r="AQ47" s="9"/>
      <c r="AR47" s="133"/>
      <c r="AS47" s="133"/>
      <c r="AT47" s="133"/>
      <c r="AU47" s="135"/>
    </row>
    <row r="48" ht="15.75" customHeight="1">
      <c r="A48" s="111"/>
      <c r="B48" s="166"/>
      <c r="C48" s="166"/>
      <c r="D48" s="166"/>
      <c r="E48" s="166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28"/>
      <c r="AF48" s="132"/>
      <c r="AG48" s="132"/>
      <c r="AH48" s="132"/>
      <c r="AI48" s="134"/>
      <c r="AJ48" s="1"/>
      <c r="AK48" s="1"/>
      <c r="AL48" s="1"/>
      <c r="AM48" s="1"/>
      <c r="AN48" s="1"/>
      <c r="AO48" s="1"/>
      <c r="AP48" s="1"/>
      <c r="AQ48" s="9"/>
      <c r="AR48" s="133"/>
      <c r="AS48" s="133"/>
      <c r="AT48" s="133"/>
      <c r="AU48" s="135"/>
    </row>
    <row r="49" ht="15.75" customHeight="1">
      <c r="A49" s="111"/>
      <c r="B49" s="166"/>
      <c r="C49" s="166"/>
      <c r="D49" s="166"/>
      <c r="E49" s="166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28"/>
      <c r="AF49" s="132"/>
      <c r="AG49" s="132"/>
      <c r="AH49" s="132"/>
      <c r="AI49" s="134"/>
      <c r="AJ49" s="1"/>
      <c r="AK49" s="1"/>
      <c r="AL49" s="1"/>
      <c r="AM49" s="1"/>
      <c r="AN49" s="1"/>
      <c r="AO49" s="1"/>
      <c r="AP49" s="1"/>
      <c r="AQ49" s="9"/>
      <c r="AR49" s="133"/>
      <c r="AS49" s="133"/>
      <c r="AT49" s="133"/>
      <c r="AU49" s="135"/>
    </row>
    <row r="50" ht="15.75" customHeight="1">
      <c r="A50" s="111"/>
      <c r="B50" s="166"/>
      <c r="C50" s="166"/>
      <c r="D50" s="166"/>
      <c r="E50" s="166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28"/>
      <c r="AF50" s="132"/>
      <c r="AG50" s="132"/>
      <c r="AH50" s="132"/>
      <c r="AI50" s="134"/>
      <c r="AJ50" s="1"/>
      <c r="AK50" s="1"/>
      <c r="AL50" s="1"/>
      <c r="AM50" s="1"/>
      <c r="AN50" s="1"/>
      <c r="AO50" s="1"/>
      <c r="AP50" s="1"/>
      <c r="AQ50" s="9"/>
      <c r="AR50" s="133"/>
      <c r="AS50" s="133"/>
      <c r="AT50" s="133"/>
      <c r="AU50" s="135"/>
    </row>
    <row r="51" ht="15.75" customHeight="1">
      <c r="A51" s="111"/>
      <c r="B51" s="166"/>
      <c r="C51" s="166"/>
      <c r="D51" s="166"/>
      <c r="E51" s="166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28"/>
      <c r="AF51" s="132"/>
      <c r="AG51" s="132"/>
      <c r="AH51" s="132"/>
      <c r="AI51" s="134"/>
      <c r="AJ51" s="1"/>
      <c r="AK51" s="1"/>
      <c r="AL51" s="1"/>
      <c r="AM51" s="1"/>
      <c r="AN51" s="1"/>
      <c r="AO51" s="1"/>
      <c r="AP51" s="1"/>
      <c r="AQ51" s="9"/>
      <c r="AR51" s="133"/>
      <c r="AS51" s="133"/>
      <c r="AT51" s="133"/>
      <c r="AU51" s="135"/>
    </row>
    <row r="52" ht="15.75" customHeight="1">
      <c r="A52" s="111"/>
      <c r="B52" s="166"/>
      <c r="C52" s="166"/>
      <c r="D52" s="166"/>
      <c r="E52" s="166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28"/>
      <c r="AF52" s="132"/>
      <c r="AG52" s="132"/>
      <c r="AH52" s="132"/>
      <c r="AI52" s="134"/>
      <c r="AJ52" s="1"/>
      <c r="AK52" s="1"/>
      <c r="AL52" s="1"/>
      <c r="AM52" s="1"/>
      <c r="AN52" s="1"/>
      <c r="AO52" s="1"/>
      <c r="AP52" s="1"/>
      <c r="AQ52" s="9"/>
      <c r="AR52" s="133"/>
      <c r="AS52" s="133"/>
      <c r="AT52" s="133"/>
      <c r="AU52" s="135"/>
    </row>
    <row r="53" ht="15.75" customHeight="1">
      <c r="A53" s="111"/>
      <c r="B53" s="166"/>
      <c r="C53" s="166"/>
      <c r="D53" s="166"/>
      <c r="E53" s="166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28"/>
      <c r="AF53" s="132"/>
      <c r="AG53" s="132"/>
      <c r="AH53" s="132"/>
      <c r="AI53" s="134"/>
      <c r="AJ53" s="1"/>
      <c r="AK53" s="1"/>
      <c r="AL53" s="1"/>
      <c r="AM53" s="1"/>
      <c r="AN53" s="1"/>
      <c r="AO53" s="1"/>
      <c r="AP53" s="1"/>
      <c r="AQ53" s="9"/>
      <c r="AR53" s="133"/>
      <c r="AS53" s="133"/>
      <c r="AT53" s="133"/>
      <c r="AU53" s="135"/>
    </row>
    <row r="54" ht="15.75" customHeight="1">
      <c r="A54" s="111"/>
      <c r="B54" s="166"/>
      <c r="C54" s="166"/>
      <c r="D54" s="166"/>
      <c r="E54" s="166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28"/>
      <c r="AF54" s="132"/>
      <c r="AG54" s="132"/>
      <c r="AH54" s="132"/>
      <c r="AI54" s="134"/>
      <c r="AJ54" s="1"/>
      <c r="AK54" s="1"/>
      <c r="AL54" s="1"/>
      <c r="AM54" s="1"/>
      <c r="AN54" s="1"/>
      <c r="AO54" s="1"/>
      <c r="AP54" s="1"/>
      <c r="AQ54" s="9"/>
      <c r="AR54" s="133"/>
      <c r="AS54" s="133"/>
      <c r="AT54" s="133"/>
      <c r="AU54" s="135"/>
    </row>
    <row r="55" ht="15.75" customHeight="1">
      <c r="A55" s="111"/>
      <c r="B55" s="166"/>
      <c r="C55" s="166"/>
      <c r="D55" s="166"/>
      <c r="E55" s="166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28"/>
      <c r="AF55" s="132"/>
      <c r="AG55" s="132"/>
      <c r="AH55" s="132"/>
      <c r="AI55" s="134"/>
      <c r="AJ55" s="1"/>
      <c r="AK55" s="1"/>
      <c r="AL55" s="1"/>
      <c r="AM55" s="1"/>
      <c r="AN55" s="1"/>
      <c r="AO55" s="1"/>
      <c r="AP55" s="1"/>
      <c r="AQ55" s="9"/>
      <c r="AR55" s="133"/>
      <c r="AS55" s="133"/>
      <c r="AT55" s="133"/>
      <c r="AU55" s="135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28" t="s">
        <v>457</v>
      </c>
      <c r="AF56" s="132">
        <v>-3754.7</v>
      </c>
      <c r="AG56" s="132">
        <v>-4019.1</v>
      </c>
      <c r="AH56" s="132">
        <v>-436.4</v>
      </c>
      <c r="AI56" s="134">
        <v>-404.2</v>
      </c>
      <c r="AJ56" s="1"/>
      <c r="AK56" s="1"/>
      <c r="AL56" s="1"/>
      <c r="AM56" s="1"/>
      <c r="AN56" s="1"/>
      <c r="AO56" s="1"/>
      <c r="AP56" s="1"/>
      <c r="AQ56" s="9" t="s">
        <v>131</v>
      </c>
      <c r="AR56" s="133">
        <v>-359425.0</v>
      </c>
      <c r="AS56" s="133">
        <v>-430083.0</v>
      </c>
      <c r="AT56" s="133">
        <v>-366262.0</v>
      </c>
      <c r="AU56" s="135">
        <v>-502734.0</v>
      </c>
    </row>
    <row r="57" ht="15.75" customHeight="1">
      <c r="A57" s="159"/>
      <c r="B57" s="15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25" t="s">
        <v>458</v>
      </c>
      <c r="AF57" s="130" t="s">
        <v>233</v>
      </c>
      <c r="AG57" s="130" t="s">
        <v>233</v>
      </c>
      <c r="AH57" s="130"/>
      <c r="AI57" s="131"/>
      <c r="AJ57" s="1"/>
      <c r="AK57" s="1"/>
      <c r="AL57" s="1"/>
      <c r="AM57" s="1"/>
      <c r="AN57" s="1"/>
      <c r="AO57" s="1"/>
      <c r="AP57" s="1"/>
      <c r="AQ57" s="9" t="s">
        <v>130</v>
      </c>
      <c r="AR57" s="133">
        <v>2070005.0</v>
      </c>
      <c r="AS57" s="133">
        <v>2348183.0</v>
      </c>
      <c r="AT57" s="133">
        <v>2624380.0</v>
      </c>
      <c r="AU57" s="135">
        <v>2583923.0</v>
      </c>
    </row>
    <row r="58" ht="15.75" customHeight="1">
      <c r="A58" s="1"/>
      <c r="B58" s="159"/>
      <c r="C58" s="1"/>
      <c r="D58" s="158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28" t="s">
        <v>459</v>
      </c>
      <c r="AF58" s="132">
        <v>-137.5</v>
      </c>
      <c r="AG58" s="132">
        <v>-126.3</v>
      </c>
      <c r="AH58" s="132">
        <v>-146.4</v>
      </c>
      <c r="AI58" s="134">
        <v>-141.8</v>
      </c>
      <c r="AJ58" s="1"/>
      <c r="AK58" s="1"/>
      <c r="AL58" s="1"/>
      <c r="AM58" s="1"/>
      <c r="AN58" s="1"/>
      <c r="AO58" s="1"/>
      <c r="AP58" s="1"/>
      <c r="AQ58" s="9" t="s">
        <v>460</v>
      </c>
      <c r="AR58" s="133">
        <v>1837445.0</v>
      </c>
      <c r="AS58" s="133">
        <v>2065814.0</v>
      </c>
      <c r="AT58" s="133">
        <v>2424340.0</v>
      </c>
      <c r="AU58" s="135">
        <v>2271614.0</v>
      </c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28" t="s">
        <v>461</v>
      </c>
      <c r="AF59" s="132">
        <v>-760.5</v>
      </c>
      <c r="AG59" s="132">
        <v>-837.5</v>
      </c>
      <c r="AH59" s="132">
        <v>-770.6</v>
      </c>
      <c r="AI59" s="134">
        <v>-917.1</v>
      </c>
      <c r="AJ59" s="1"/>
      <c r="AK59" s="1"/>
      <c r="AL59" s="1"/>
      <c r="AM59" s="1"/>
      <c r="AN59" s="1"/>
      <c r="AO59" s="1"/>
      <c r="AP59" s="1"/>
      <c r="AQ59" s="9" t="s">
        <v>462</v>
      </c>
      <c r="AR59" s="133">
        <v>12096.0</v>
      </c>
      <c r="AS59" s="133">
        <v>6983.0</v>
      </c>
      <c r="AT59" s="133">
        <v>7495.0</v>
      </c>
      <c r="AU59" s="135">
        <v>14599.0</v>
      </c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28" t="s">
        <v>463</v>
      </c>
      <c r="AF60" s="132">
        <v>-38.3</v>
      </c>
      <c r="AG60" s="132">
        <v>-18.3</v>
      </c>
      <c r="AH60" s="132">
        <v>-38.1</v>
      </c>
      <c r="AI60" s="134">
        <v>-20.7</v>
      </c>
      <c r="AJ60" s="1"/>
      <c r="AK60" s="1"/>
      <c r="AL60" s="1"/>
      <c r="AM60" s="1"/>
      <c r="AN60" s="1"/>
      <c r="AO60" s="1"/>
      <c r="AP60" s="1"/>
      <c r="AQ60" s="18" t="s">
        <v>464</v>
      </c>
      <c r="AR60" s="136">
        <v>1849541.0</v>
      </c>
      <c r="AS60" s="136">
        <v>2072797.0</v>
      </c>
      <c r="AT60" s="136">
        <v>2431835.0</v>
      </c>
      <c r="AU60" s="137">
        <v>2286213.0</v>
      </c>
    </row>
    <row r="61" ht="15.75" customHeight="1">
      <c r="A61" s="16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28" t="s">
        <v>465</v>
      </c>
      <c r="AF61" s="132">
        <v>2.4</v>
      </c>
      <c r="AG61" s="132">
        <v>3.3</v>
      </c>
      <c r="AH61" s="132">
        <v>-0.4</v>
      </c>
      <c r="AI61" s="134">
        <v>3.7</v>
      </c>
      <c r="AJ61" s="1"/>
      <c r="AK61" s="1"/>
      <c r="AL61" s="1"/>
      <c r="AM61" s="1"/>
      <c r="AN61" s="1"/>
      <c r="AO61" s="1"/>
      <c r="AP61" s="1"/>
      <c r="AQ61" s="168" t="s">
        <v>466</v>
      </c>
      <c r="AR61" s="169">
        <v>5073235.0</v>
      </c>
      <c r="AS61" s="169">
        <v>7052940.0</v>
      </c>
      <c r="AT61" s="169">
        <v>7191957.0</v>
      </c>
      <c r="AU61" s="170">
        <v>1.250779E7</v>
      </c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28" t="s">
        <v>467</v>
      </c>
      <c r="AF62" s="132">
        <v>-933.9</v>
      </c>
      <c r="AG62" s="132">
        <v>-978.8</v>
      </c>
      <c r="AH62" s="132">
        <v>-955.5</v>
      </c>
      <c r="AI62" s="134">
        <v>-1075.9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171" t="s">
        <v>468</v>
      </c>
      <c r="B63" s="3"/>
      <c r="C63" s="3"/>
      <c r="D63" s="3"/>
      <c r="E63" s="4"/>
      <c r="F63" s="1"/>
      <c r="G63" s="171" t="s">
        <v>469</v>
      </c>
      <c r="H63" s="3"/>
      <c r="I63" s="3"/>
      <c r="J63" s="3"/>
      <c r="K63" s="4"/>
      <c r="L63" s="1"/>
      <c r="M63" s="43"/>
      <c r="R63" s="1"/>
      <c r="S63" s="43"/>
      <c r="X63" s="1"/>
      <c r="Y63" s="1"/>
      <c r="Z63" s="1"/>
      <c r="AA63" s="1"/>
      <c r="AB63" s="1"/>
      <c r="AC63" s="1"/>
      <c r="AD63" s="1"/>
      <c r="AE63" s="128" t="s">
        <v>470</v>
      </c>
      <c r="AF63" s="132">
        <v>248.7</v>
      </c>
      <c r="AG63" s="132">
        <v>344.1</v>
      </c>
      <c r="AH63" s="132">
        <v>549.5</v>
      </c>
      <c r="AI63" s="134">
        <v>624.5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172" t="s">
        <v>471</v>
      </c>
      <c r="B64" s="173">
        <v>2021.0</v>
      </c>
      <c r="C64" s="173">
        <v>2022.0</v>
      </c>
      <c r="D64" s="173">
        <v>2023.0</v>
      </c>
      <c r="E64" s="174">
        <v>2024.0</v>
      </c>
      <c r="F64" s="1"/>
      <c r="G64" s="172" t="s">
        <v>471</v>
      </c>
      <c r="H64" s="173">
        <v>2021.0</v>
      </c>
      <c r="I64" s="173">
        <v>2022.0</v>
      </c>
      <c r="J64" s="173">
        <v>2023.0</v>
      </c>
      <c r="K64" s="174">
        <v>2024.0</v>
      </c>
      <c r="L64" s="1"/>
      <c r="M64" s="175"/>
      <c r="N64" s="29"/>
      <c r="O64" s="29"/>
      <c r="P64" s="29"/>
      <c r="Q64" s="29"/>
      <c r="R64" s="1"/>
      <c r="S64" s="175"/>
      <c r="T64" s="29"/>
      <c r="U64" s="29"/>
      <c r="V64" s="29"/>
      <c r="W64" s="29"/>
      <c r="X64" s="1"/>
      <c r="Y64" s="1"/>
      <c r="Z64" s="1"/>
      <c r="AA64" s="1"/>
      <c r="AB64" s="1"/>
      <c r="AC64" s="1"/>
      <c r="AD64" s="1"/>
      <c r="AE64" s="142" t="s">
        <v>472</v>
      </c>
      <c r="AF64" s="143">
        <v>6229.3</v>
      </c>
      <c r="AG64" s="143">
        <v>6214.7</v>
      </c>
      <c r="AH64" s="143" t="s">
        <v>473</v>
      </c>
      <c r="AI64" s="176" t="s">
        <v>474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177" t="s">
        <v>475</v>
      </c>
      <c r="B65" s="37">
        <f t="shared" ref="B65:E65" si="2">B11/B28</f>
        <v>1.211967779</v>
      </c>
      <c r="C65" s="37">
        <f t="shared" si="2"/>
        <v>1.146972369</v>
      </c>
      <c r="D65" s="37">
        <f t="shared" si="2"/>
        <v>1.18588025</v>
      </c>
      <c r="E65" s="178">
        <f t="shared" si="2"/>
        <v>1.165219432</v>
      </c>
      <c r="F65" s="1"/>
      <c r="G65" s="177" t="s">
        <v>475</v>
      </c>
      <c r="H65" s="37">
        <f t="shared" ref="H65:K65" si="3">N9/N20</f>
        <v>1.598870056</v>
      </c>
      <c r="I65" s="37">
        <f t="shared" si="3"/>
        <v>1.815752461</v>
      </c>
      <c r="J65" s="37">
        <f t="shared" si="3"/>
        <v>1.670844084</v>
      </c>
      <c r="K65" s="178">
        <f t="shared" si="3"/>
        <v>1.245642702</v>
      </c>
      <c r="L65" s="1"/>
      <c r="M65" s="1"/>
      <c r="N65" s="179"/>
      <c r="O65" s="179"/>
      <c r="P65" s="179"/>
      <c r="Q65" s="179"/>
      <c r="R65" s="1"/>
      <c r="S65" s="1"/>
      <c r="T65" s="179"/>
      <c r="U65" s="179"/>
      <c r="V65" s="179"/>
      <c r="W65" s="179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177" t="s">
        <v>476</v>
      </c>
      <c r="B66" s="37">
        <f t="shared" ref="B66:E66" si="4">(B11-B9)/B28</f>
        <v>0.753739931</v>
      </c>
      <c r="C66" s="37">
        <f t="shared" si="4"/>
        <v>0.6690182246</v>
      </c>
      <c r="D66" s="37">
        <f t="shared" si="4"/>
        <v>0.6914655943</v>
      </c>
      <c r="E66" s="178">
        <f t="shared" si="4"/>
        <v>0.688570758</v>
      </c>
      <c r="F66" s="1"/>
      <c r="G66" s="177" t="s">
        <v>476</v>
      </c>
      <c r="H66" s="37">
        <f t="shared" ref="H66:K66" si="5">(N9-N7)/N20</f>
        <v>1.000313873</v>
      </c>
      <c r="I66" s="37">
        <f t="shared" si="5"/>
        <v>1.182137834</v>
      </c>
      <c r="J66" s="37">
        <f t="shared" si="5"/>
        <v>1.096940656</v>
      </c>
      <c r="K66" s="178">
        <f t="shared" si="5"/>
        <v>0.8014705882</v>
      </c>
      <c r="L66" s="1"/>
      <c r="M66" s="1"/>
      <c r="N66" s="179"/>
      <c r="O66" s="179"/>
      <c r="P66" s="179"/>
      <c r="Q66" s="179"/>
      <c r="R66" s="1"/>
      <c r="S66" s="1"/>
      <c r="T66" s="179"/>
      <c r="U66" s="179"/>
      <c r="V66" s="179"/>
      <c r="W66" s="179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172" t="s">
        <v>477</v>
      </c>
      <c r="B67" s="180"/>
      <c r="C67" s="180"/>
      <c r="D67" s="180"/>
      <c r="E67" s="181"/>
      <c r="F67" s="1"/>
      <c r="G67" s="172" t="s">
        <v>477</v>
      </c>
      <c r="H67" s="180"/>
      <c r="I67" s="180"/>
      <c r="J67" s="180"/>
      <c r="K67" s="181"/>
      <c r="L67" s="1"/>
      <c r="M67" s="175"/>
      <c r="N67" s="1"/>
      <c r="O67" s="1"/>
      <c r="P67" s="1"/>
      <c r="Q67" s="1"/>
      <c r="R67" s="1"/>
      <c r="S67" s="175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177" t="s">
        <v>478</v>
      </c>
      <c r="B68" s="37">
        <f t="shared" ref="B68:E68" si="6">B21/H4</f>
        <v>1.336443511</v>
      </c>
      <c r="C68" s="37">
        <f t="shared" si="6"/>
        <v>1.198157316</v>
      </c>
      <c r="D68" s="37">
        <f t="shared" si="6"/>
        <v>1.157138968</v>
      </c>
      <c r="E68" s="178">
        <f t="shared" si="6"/>
        <v>1.21143695</v>
      </c>
      <c r="F68" s="1"/>
      <c r="G68" s="177" t="s">
        <v>478</v>
      </c>
      <c r="H68" s="37">
        <f t="shared" ref="H68:K68" si="7">T4/N14</f>
        <v>0.7745218656</v>
      </c>
      <c r="I68" s="37">
        <f t="shared" si="7"/>
        <v>0.8548596367</v>
      </c>
      <c r="J68" s="37">
        <f t="shared" si="7"/>
        <v>0.7634894797</v>
      </c>
      <c r="K68" s="178">
        <f t="shared" si="7"/>
        <v>0.737855896</v>
      </c>
      <c r="L68" s="1"/>
      <c r="M68" s="1"/>
      <c r="N68" s="179"/>
      <c r="O68" s="179"/>
      <c r="P68" s="179"/>
      <c r="Q68" s="179"/>
      <c r="R68" s="1"/>
      <c r="S68" s="1"/>
      <c r="T68" s="179"/>
      <c r="U68" s="179"/>
      <c r="V68" s="179"/>
      <c r="W68" s="179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177" t="s">
        <v>479</v>
      </c>
      <c r="B69" s="37">
        <f t="shared" ref="B69:E69" si="8">B9/H5</f>
        <v>0.1965643203</v>
      </c>
      <c r="C69" s="37">
        <f t="shared" si="8"/>
        <v>0.2080348004</v>
      </c>
      <c r="D69" s="37">
        <f t="shared" si="8"/>
        <v>0.1848943103</v>
      </c>
      <c r="E69" s="178">
        <f t="shared" si="8"/>
        <v>0.1858528551</v>
      </c>
      <c r="F69" s="1"/>
      <c r="G69" s="177" t="s">
        <v>479</v>
      </c>
      <c r="H69" s="37">
        <f t="shared" ref="H69:K69" si="9">N7/T6</f>
        <v>0.1679880197</v>
      </c>
      <c r="I69" s="37">
        <f t="shared" si="9"/>
        <v>0.1486430751</v>
      </c>
      <c r="J69" s="37">
        <f t="shared" si="9"/>
        <v>0.150376666</v>
      </c>
      <c r="K69" s="178">
        <f t="shared" si="9"/>
        <v>0.1630184908</v>
      </c>
      <c r="L69" s="1"/>
      <c r="M69" s="1"/>
      <c r="N69" s="179"/>
      <c r="O69" s="179"/>
      <c r="P69" s="179"/>
      <c r="Q69" s="179"/>
      <c r="R69" s="1"/>
      <c r="S69" s="1"/>
      <c r="T69" s="179"/>
      <c r="U69" s="179"/>
      <c r="V69" s="179"/>
      <c r="W69" s="179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177" t="s">
        <v>480</v>
      </c>
      <c r="B70" s="182">
        <f t="shared" ref="B70:E70" si="10">(B6/H5)*365</f>
        <v>67.16951328</v>
      </c>
      <c r="C70" s="182">
        <f t="shared" si="10"/>
        <v>60.24181167</v>
      </c>
      <c r="D70" s="182">
        <f t="shared" si="10"/>
        <v>57.17896232</v>
      </c>
      <c r="E70" s="183">
        <f t="shared" si="10"/>
        <v>61.65721083</v>
      </c>
      <c r="F70" s="1"/>
      <c r="G70" s="177" t="s">
        <v>480</v>
      </c>
      <c r="H70" s="182">
        <f t="shared" ref="H70:K70" si="11">(N6/T6)*365</f>
        <v>60.41534531</v>
      </c>
      <c r="I70" s="182">
        <f t="shared" si="11"/>
        <v>53.50202095</v>
      </c>
      <c r="J70" s="182">
        <f t="shared" si="11"/>
        <v>55.27525594</v>
      </c>
      <c r="K70" s="183">
        <f t="shared" si="11"/>
        <v>58.51674163</v>
      </c>
      <c r="L70" s="1"/>
      <c r="M70" s="1"/>
      <c r="N70" s="184"/>
      <c r="O70" s="184"/>
      <c r="P70" s="184"/>
      <c r="Q70" s="184"/>
      <c r="R70" s="1"/>
      <c r="S70" s="1"/>
      <c r="T70" s="184"/>
      <c r="U70" s="184"/>
      <c r="V70" s="184"/>
      <c r="W70" s="184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177" t="s">
        <v>481</v>
      </c>
      <c r="B71" s="182">
        <f t="shared" ref="B71:E71" si="12">(B25/H5)*365</f>
        <v>92.75446737</v>
      </c>
      <c r="C71" s="182">
        <f t="shared" si="12"/>
        <v>95.67084613</v>
      </c>
      <c r="D71" s="182">
        <f t="shared" si="12"/>
        <v>82.03275127</v>
      </c>
      <c r="E71" s="183">
        <f t="shared" si="12"/>
        <v>86.17313324</v>
      </c>
      <c r="F71" s="1"/>
      <c r="G71" s="177" t="s">
        <v>481</v>
      </c>
      <c r="H71" s="182">
        <f t="shared" ref="H71:K71" si="13">(N16/T6)*365</f>
        <v>65.6241191</v>
      </c>
      <c r="I71" s="182">
        <f t="shared" si="13"/>
        <v>54.04396602</v>
      </c>
      <c r="J71" s="182">
        <f t="shared" si="13"/>
        <v>53.86517288</v>
      </c>
      <c r="K71" s="183">
        <f t="shared" si="13"/>
        <v>64.42678661</v>
      </c>
      <c r="L71" s="1"/>
      <c r="M71" s="1"/>
      <c r="N71" s="184"/>
      <c r="O71" s="184"/>
      <c r="P71" s="184"/>
      <c r="Q71" s="184"/>
      <c r="R71" s="1"/>
      <c r="S71" s="1"/>
      <c r="T71" s="184"/>
      <c r="U71" s="184"/>
      <c r="V71" s="184"/>
      <c r="W71" s="184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185" t="s">
        <v>482</v>
      </c>
      <c r="B72" s="180"/>
      <c r="C72" s="180"/>
      <c r="D72" s="180"/>
      <c r="E72" s="181"/>
      <c r="F72" s="1"/>
      <c r="G72" s="185" t="s">
        <v>482</v>
      </c>
      <c r="H72" s="180"/>
      <c r="I72" s="180"/>
      <c r="J72" s="180"/>
      <c r="K72" s="181"/>
      <c r="L72" s="1"/>
      <c r="M72" s="186"/>
      <c r="N72" s="1"/>
      <c r="O72" s="1"/>
      <c r="P72" s="1"/>
      <c r="Q72" s="1"/>
      <c r="R72" s="1"/>
      <c r="S72" s="186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187" t="s">
        <v>483</v>
      </c>
      <c r="B73" s="32">
        <f t="shared" ref="B73:E73" si="14">H6/H4</f>
        <v>0.2124251613</v>
      </c>
      <c r="C73" s="32">
        <f t="shared" si="14"/>
        <v>0.1938943894</v>
      </c>
      <c r="D73" s="32">
        <f t="shared" si="14"/>
        <v>0.1854498435</v>
      </c>
      <c r="E73" s="36">
        <f t="shared" si="14"/>
        <v>0.1988269795</v>
      </c>
      <c r="F73" s="1"/>
      <c r="G73" s="187" t="s">
        <v>483</v>
      </c>
      <c r="H73" s="32">
        <f t="shared" ref="H73:K73" si="15">T10/T4</f>
        <v>0.09328519856</v>
      </c>
      <c r="I73" s="32">
        <f t="shared" si="15"/>
        <v>0.08568471887</v>
      </c>
      <c r="J73" s="32">
        <f t="shared" si="15"/>
        <v>0.08520214782</v>
      </c>
      <c r="K73" s="36">
        <f t="shared" si="15"/>
        <v>0.076439876</v>
      </c>
      <c r="L73" s="1"/>
      <c r="M73" s="188"/>
      <c r="N73" s="77"/>
      <c r="O73" s="77"/>
      <c r="P73" s="77"/>
      <c r="Q73" s="77"/>
      <c r="R73" s="1"/>
      <c r="S73" s="188"/>
      <c r="T73" s="77"/>
      <c r="U73" s="77"/>
      <c r="V73" s="77"/>
      <c r="W73" s="77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187" t="s">
        <v>484</v>
      </c>
      <c r="B74" s="32">
        <f t="shared" ref="B74:E74" si="16">H19/H4</f>
        <v>0.07394448332</v>
      </c>
      <c r="C74" s="32">
        <f t="shared" si="16"/>
        <v>0.05603685369</v>
      </c>
      <c r="D74" s="32">
        <f t="shared" si="16"/>
        <v>0.07200217776</v>
      </c>
      <c r="E74" s="36">
        <f t="shared" si="16"/>
        <v>0.05425219941</v>
      </c>
      <c r="F74" s="1"/>
      <c r="G74" s="187" t="s">
        <v>484</v>
      </c>
      <c r="H74" s="32">
        <f t="shared" ref="H74:K74" si="17">T15/T4</f>
        <v>0.05292418773</v>
      </c>
      <c r="I74" s="32">
        <f t="shared" si="17"/>
        <v>0.0528458089</v>
      </c>
      <c r="J74" s="32">
        <f t="shared" si="17"/>
        <v>0.04808907138</v>
      </c>
      <c r="K74" s="36">
        <f t="shared" si="17"/>
        <v>0.04209495839</v>
      </c>
      <c r="L74" s="1"/>
      <c r="M74" s="188"/>
      <c r="N74" s="77"/>
      <c r="O74" s="77"/>
      <c r="P74" s="77"/>
      <c r="Q74" s="77"/>
      <c r="R74" s="1"/>
      <c r="S74" s="188"/>
      <c r="T74" s="77"/>
      <c r="U74" s="77"/>
      <c r="V74" s="77"/>
      <c r="W74" s="77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187" t="s">
        <v>485</v>
      </c>
      <c r="B75" s="32">
        <f t="shared" ref="B75:E75" si="18">H19/B21</f>
        <v>0.05532929951</v>
      </c>
      <c r="C75" s="32">
        <f t="shared" si="18"/>
        <v>0.04676919546</v>
      </c>
      <c r="D75" s="32">
        <f t="shared" si="18"/>
        <v>0.06222431336</v>
      </c>
      <c r="E75" s="36">
        <f t="shared" si="18"/>
        <v>0.04478334544</v>
      </c>
      <c r="F75" s="1"/>
      <c r="G75" s="187" t="s">
        <v>485</v>
      </c>
      <c r="H75" s="32">
        <f t="shared" ref="H75:K75" si="19">T15/N14</f>
        <v>0.04099094061</v>
      </c>
      <c r="I75" s="32">
        <f t="shared" si="19"/>
        <v>0.045175749</v>
      </c>
      <c r="J75" s="32">
        <f t="shared" si="19"/>
        <v>0.03671550009</v>
      </c>
      <c r="K75" s="36">
        <f t="shared" si="19"/>
        <v>0.03106001324</v>
      </c>
      <c r="L75" s="1"/>
      <c r="M75" s="188"/>
      <c r="N75" s="77"/>
      <c r="O75" s="77"/>
      <c r="P75" s="77"/>
      <c r="Q75" s="77"/>
      <c r="R75" s="1"/>
      <c r="S75" s="188"/>
      <c r="T75" s="77"/>
      <c r="U75" s="77"/>
      <c r="V75" s="77"/>
      <c r="W75" s="77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172" t="s">
        <v>486</v>
      </c>
      <c r="B76" s="180"/>
      <c r="C76" s="180"/>
      <c r="D76" s="180"/>
      <c r="E76" s="181"/>
      <c r="F76" s="1"/>
      <c r="G76" s="172" t="s">
        <v>486</v>
      </c>
      <c r="H76" s="180"/>
      <c r="I76" s="180"/>
      <c r="J76" s="180"/>
      <c r="K76" s="181"/>
      <c r="L76" s="1"/>
      <c r="M76" s="175"/>
      <c r="N76" s="1"/>
      <c r="O76" s="1"/>
      <c r="P76" s="1"/>
      <c r="Q76" s="1"/>
      <c r="R76" s="1"/>
      <c r="S76" s="175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9" t="s">
        <v>487</v>
      </c>
      <c r="B77" s="37">
        <f t="shared" ref="B77:E77" si="20">(B30+B24+B23)/B46</f>
        <v>1.304501141</v>
      </c>
      <c r="C77" s="37">
        <f t="shared" si="20"/>
        <v>1.567254286</v>
      </c>
      <c r="D77" s="37">
        <f t="shared" si="20"/>
        <v>1.649388753</v>
      </c>
      <c r="E77" s="178">
        <f t="shared" si="20"/>
        <v>1.694662282</v>
      </c>
      <c r="F77" s="1"/>
      <c r="G77" s="9" t="s">
        <v>487</v>
      </c>
      <c r="H77" s="37">
        <f t="shared" ref="H77:K77" si="21">(N21+N19)/N32</f>
        <v>2.974842767</v>
      </c>
      <c r="I77" s="37">
        <f t="shared" si="21"/>
        <v>2.895807259</v>
      </c>
      <c r="J77" s="37">
        <f t="shared" si="21"/>
        <v>2.792288557</v>
      </c>
      <c r="K77" s="178">
        <f t="shared" si="21"/>
        <v>2.304600887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9" t="s">
        <v>488</v>
      </c>
      <c r="B78" s="189">
        <f t="shared" ref="B78:E78" si="22">(B23+B24+B30-B5)/B46</f>
        <v>1.128189172</v>
      </c>
      <c r="C78" s="189">
        <f t="shared" si="22"/>
        <v>1.380101425</v>
      </c>
      <c r="D78" s="189">
        <f t="shared" si="22"/>
        <v>1.480929095</v>
      </c>
      <c r="E78" s="190">
        <f t="shared" si="22"/>
        <v>1.545914495</v>
      </c>
      <c r="F78" s="1"/>
      <c r="G78" s="9" t="s">
        <v>488</v>
      </c>
      <c r="H78" s="189">
        <f t="shared" ref="H78:K78" si="23">(N21+N19-N5)/N32</f>
        <v>2.631761006</v>
      </c>
      <c r="I78" s="189">
        <f t="shared" si="23"/>
        <v>2.454630788</v>
      </c>
      <c r="J78" s="189">
        <f t="shared" si="23"/>
        <v>2.418221393</v>
      </c>
      <c r="K78" s="190">
        <f t="shared" si="23"/>
        <v>2.001108647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45" t="s">
        <v>489</v>
      </c>
      <c r="B79" s="191">
        <f t="shared" ref="B79:E79" si="24">H12/H14</f>
        <v>8.633986928</v>
      </c>
      <c r="C79" s="191">
        <f t="shared" si="24"/>
        <v>7.79245283</v>
      </c>
      <c r="D79" s="191">
        <f t="shared" si="24"/>
        <v>5.2</v>
      </c>
      <c r="E79" s="192">
        <f t="shared" si="24"/>
        <v>3.488505747</v>
      </c>
      <c r="F79" s="1"/>
      <c r="G79" s="45" t="s">
        <v>489</v>
      </c>
      <c r="H79" s="191">
        <f t="shared" ref="H79:K79" si="25">T10/T12</f>
        <v>3.845238095</v>
      </c>
      <c r="I79" s="191">
        <f t="shared" si="25"/>
        <v>4.342657343</v>
      </c>
      <c r="J79" s="191">
        <f t="shared" si="25"/>
        <v>3.526143791</v>
      </c>
      <c r="K79" s="192">
        <f t="shared" si="25"/>
        <v>3.012861736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171" t="s">
        <v>490</v>
      </c>
      <c r="B82" s="3"/>
      <c r="C82" s="3"/>
      <c r="D82" s="3"/>
      <c r="E82" s="4"/>
      <c r="F82" s="1"/>
      <c r="G82" s="171" t="s">
        <v>491</v>
      </c>
      <c r="H82" s="3"/>
      <c r="I82" s="3"/>
      <c r="J82" s="3"/>
      <c r="K82" s="4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172" t="s">
        <v>471</v>
      </c>
      <c r="B83" s="173">
        <v>2021.0</v>
      </c>
      <c r="C83" s="173">
        <v>2022.0</v>
      </c>
      <c r="D83" s="173">
        <v>2023.0</v>
      </c>
      <c r="E83" s="174">
        <v>2024.0</v>
      </c>
      <c r="F83" s="1"/>
      <c r="G83" s="172" t="s">
        <v>471</v>
      </c>
      <c r="H83" s="173">
        <v>2021.0</v>
      </c>
      <c r="I83" s="173">
        <v>2022.0</v>
      </c>
      <c r="J83" s="173">
        <v>2023.0</v>
      </c>
      <c r="K83" s="174">
        <v>2024.0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177" t="s">
        <v>475</v>
      </c>
      <c r="B84" s="37">
        <f t="shared" ref="B84:E84" si="26">AF12/AF29</f>
        <v>1.031036716</v>
      </c>
      <c r="C84" s="37">
        <f t="shared" si="26"/>
        <v>1.016812374</v>
      </c>
      <c r="D84" s="37">
        <f t="shared" si="26"/>
        <v>1.301060305</v>
      </c>
      <c r="E84" s="178">
        <f t="shared" si="26"/>
        <v>1.156710486</v>
      </c>
      <c r="F84" s="1"/>
      <c r="G84" s="177" t="s">
        <v>475</v>
      </c>
      <c r="H84" s="37">
        <f t="shared" ref="H84:K84" si="27">AR13/AR29</f>
        <v>1.087113136</v>
      </c>
      <c r="I84" s="37">
        <f t="shared" si="27"/>
        <v>1.354006908</v>
      </c>
      <c r="J84" s="37">
        <f t="shared" si="27"/>
        <v>1.759551592</v>
      </c>
      <c r="K84" s="178">
        <f t="shared" si="27"/>
        <v>0.7871052383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177" t="s">
        <v>476</v>
      </c>
      <c r="B85" s="37">
        <f t="shared" ref="B85:E85" si="28">(AF12-AF10)/AF29</f>
        <v>0.669506302</v>
      </c>
      <c r="C85" s="37">
        <f t="shared" si="28"/>
        <v>0.600682102</v>
      </c>
      <c r="D85" s="37">
        <f t="shared" si="28"/>
        <v>0.7879390325</v>
      </c>
      <c r="E85" s="178">
        <f t="shared" si="28"/>
        <v>0.7151329869</v>
      </c>
      <c r="F85" s="1"/>
      <c r="G85" s="177" t="s">
        <v>476</v>
      </c>
      <c r="H85" s="37">
        <f t="shared" ref="H85:K85" si="29">(AR13-(SUM(AR9:AR12)))/AR29</f>
        <v>0.6701761676</v>
      </c>
      <c r="I85" s="37">
        <f t="shared" si="29"/>
        <v>0.6821728986</v>
      </c>
      <c r="J85" s="37">
        <f t="shared" si="29"/>
        <v>0.7578798861</v>
      </c>
      <c r="K85" s="178">
        <f t="shared" si="29"/>
        <v>0.375013341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172" t="s">
        <v>477</v>
      </c>
      <c r="B86" s="180"/>
      <c r="C86" s="180"/>
      <c r="D86" s="180"/>
      <c r="E86" s="181"/>
      <c r="F86" s="1"/>
      <c r="G86" s="172" t="s">
        <v>477</v>
      </c>
      <c r="H86" s="180"/>
      <c r="I86" s="180"/>
      <c r="J86" s="180"/>
      <c r="K86" s="18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177" t="s">
        <v>478</v>
      </c>
      <c r="B87" s="37">
        <f t="shared" ref="B87:E87" si="30">Z4/AF20</f>
        <v>0.8883502159</v>
      </c>
      <c r="C87" s="37">
        <f t="shared" si="30"/>
        <v>0.9078314319</v>
      </c>
      <c r="D87" s="37">
        <f t="shared" si="30"/>
        <v>0.7622836986</v>
      </c>
      <c r="E87" s="178">
        <f t="shared" si="30"/>
        <v>0.7679469105</v>
      </c>
      <c r="F87" s="1"/>
      <c r="G87" s="177" t="s">
        <v>478</v>
      </c>
      <c r="H87" s="37">
        <f t="shared" ref="H87:K87" si="31">AL4/AR21</f>
        <v>1.101947377</v>
      </c>
      <c r="I87" s="37">
        <f t="shared" si="31"/>
        <v>0.8307637666</v>
      </c>
      <c r="J87" s="37">
        <f t="shared" si="31"/>
        <v>0.756598795</v>
      </c>
      <c r="K87" s="178">
        <f t="shared" si="31"/>
        <v>0.4241648605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177" t="s">
        <v>479</v>
      </c>
      <c r="B88" s="37">
        <f t="shared" ref="B88:E88" si="32">AF10/Z5</f>
        <v>0.1883516312</v>
      </c>
      <c r="C88" s="37">
        <f t="shared" si="32"/>
        <v>0.2239079866</v>
      </c>
      <c r="D88" s="37">
        <f t="shared" si="32"/>
        <v>0.2012423329</v>
      </c>
      <c r="E88" s="178">
        <f t="shared" si="32"/>
        <v>0.1916921035</v>
      </c>
      <c r="F88" s="1"/>
      <c r="G88" s="177" t="s">
        <v>479</v>
      </c>
      <c r="H88" s="37">
        <f t="shared" ref="H88:K88" si="33">(SUM(AR9:AR12))/AL5</f>
        <v>0.1404754481</v>
      </c>
      <c r="I88" s="37">
        <f t="shared" si="33"/>
        <v>0.2528290299</v>
      </c>
      <c r="J88" s="37">
        <f t="shared" si="33"/>
        <v>0.2753631462</v>
      </c>
      <c r="K88" s="178">
        <f t="shared" si="33"/>
        <v>0.399446537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177" t="s">
        <v>480</v>
      </c>
      <c r="B89" s="182">
        <f t="shared" ref="B89:E89" si="34">(AF6/Z5)*365</f>
        <v>58.763399</v>
      </c>
      <c r="C89" s="182">
        <f t="shared" si="34"/>
        <v>55.88679245</v>
      </c>
      <c r="D89" s="182">
        <f t="shared" si="34"/>
        <v>41.98695291</v>
      </c>
      <c r="E89" s="183">
        <f t="shared" si="34"/>
        <v>42.92806901</v>
      </c>
      <c r="F89" s="1"/>
      <c r="G89" s="177" t="s">
        <v>480</v>
      </c>
      <c r="H89" s="182">
        <f t="shared" ref="H89:K89" si="35">(AR6/AL5)*365</f>
        <v>60.90219272</v>
      </c>
      <c r="I89" s="182">
        <f t="shared" si="35"/>
        <v>67.95193535</v>
      </c>
      <c r="J89" s="182">
        <f t="shared" si="35"/>
        <v>59.09410721</v>
      </c>
      <c r="K89" s="183">
        <f t="shared" si="35"/>
        <v>79.50948026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177" t="s">
        <v>481</v>
      </c>
      <c r="B90" s="182">
        <f t="shared" ref="B90:E90" si="36">(AF25/Z5)*365</f>
        <v>90.93500999</v>
      </c>
      <c r="C90" s="182">
        <f t="shared" si="36"/>
        <v>81.66037736</v>
      </c>
      <c r="D90" s="182">
        <f t="shared" si="36"/>
        <v>72.53326749</v>
      </c>
      <c r="E90" s="183">
        <f t="shared" si="36"/>
        <v>74.69542137</v>
      </c>
      <c r="F90" s="1"/>
      <c r="G90" s="177" t="s">
        <v>481</v>
      </c>
      <c r="H90" s="182">
        <f t="shared" ref="H90:K90" si="37">(AR23/AL5)*365</f>
        <v>58.13784965</v>
      </c>
      <c r="I90" s="182">
        <f t="shared" si="37"/>
        <v>64.49988013</v>
      </c>
      <c r="J90" s="182">
        <f t="shared" si="37"/>
        <v>46.31557635</v>
      </c>
      <c r="K90" s="183">
        <f t="shared" si="37"/>
        <v>99.04450939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185" t="s">
        <v>482</v>
      </c>
      <c r="B91" s="180"/>
      <c r="C91" s="180"/>
      <c r="D91" s="180"/>
      <c r="E91" s="181"/>
      <c r="F91" s="1"/>
      <c r="G91" s="185" t="s">
        <v>482</v>
      </c>
      <c r="H91" s="180"/>
      <c r="I91" s="180"/>
      <c r="J91" s="180"/>
      <c r="K91" s="18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187" t="s">
        <v>483</v>
      </c>
      <c r="B92" s="32">
        <f t="shared" ref="B92:E92" si="38">Z6/Z4</f>
        <v>0.3037514908</v>
      </c>
      <c r="C92" s="32">
        <f t="shared" si="38"/>
        <v>0.3142381113</v>
      </c>
      <c r="D92" s="32">
        <f t="shared" si="38"/>
        <v>0.2990216619</v>
      </c>
      <c r="E92" s="36">
        <f t="shared" si="38"/>
        <v>0.3013574157</v>
      </c>
      <c r="F92" s="1"/>
      <c r="G92" s="187" t="s">
        <v>483</v>
      </c>
      <c r="H92" s="32">
        <f t="shared" ref="H92:K92" si="39">AL6/AL4</f>
        <v>0.1899511273</v>
      </c>
      <c r="I92" s="32">
        <f t="shared" si="39"/>
        <v>0.2091226518</v>
      </c>
      <c r="J92" s="32">
        <f t="shared" si="39"/>
        <v>0.221002546</v>
      </c>
      <c r="K92" s="36">
        <f t="shared" si="39"/>
        <v>0.2147322569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187" t="s">
        <v>484</v>
      </c>
      <c r="B93" s="32">
        <f t="shared" ref="B93:E93" si="40">Z18/Z4</f>
        <v>0.09158263761</v>
      </c>
      <c r="C93" s="32">
        <f t="shared" si="40"/>
        <v>0.08713376699</v>
      </c>
      <c r="D93" s="32">
        <f t="shared" si="40"/>
        <v>0.06223469183</v>
      </c>
      <c r="E93" s="36">
        <f t="shared" si="40"/>
        <v>0.04908578422</v>
      </c>
      <c r="F93" s="1"/>
      <c r="G93" s="187" t="s">
        <v>484</v>
      </c>
      <c r="H93" s="193">
        <f t="shared" ref="H93:K93" si="41">AL21/AL4</f>
        <v>-0.01479508403</v>
      </c>
      <c r="I93" s="32">
        <f t="shared" si="41"/>
        <v>0.07969857289</v>
      </c>
      <c r="J93" s="32">
        <f t="shared" si="41"/>
        <v>0.08745887567</v>
      </c>
      <c r="K93" s="36">
        <f t="shared" si="41"/>
        <v>0.0309007957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187" t="s">
        <v>485</v>
      </c>
      <c r="B94" s="32">
        <f t="shared" ref="B94:E94" si="42">Z18/AF20</f>
        <v>0.08135745589</v>
      </c>
      <c r="C94" s="32">
        <f t="shared" si="42"/>
        <v>0.07910277246</v>
      </c>
      <c r="D94" s="32">
        <f t="shared" si="42"/>
        <v>0.04744049107</v>
      </c>
      <c r="E94" s="36">
        <f t="shared" si="42"/>
        <v>0.03769527634</v>
      </c>
      <c r="F94" s="1"/>
      <c r="G94" s="187" t="s">
        <v>485</v>
      </c>
      <c r="H94" s="193">
        <f t="shared" ref="H94:K94" si="43">AL21/AR21</f>
        <v>-0.01630340404</v>
      </c>
      <c r="I94" s="32">
        <f t="shared" si="43"/>
        <v>0.06621068661</v>
      </c>
      <c r="J94" s="32">
        <f t="shared" si="43"/>
        <v>0.06617127995</v>
      </c>
      <c r="K94" s="36">
        <f t="shared" si="43"/>
        <v>0.0131070317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172" t="s">
        <v>486</v>
      </c>
      <c r="B95" s="180"/>
      <c r="C95" s="180"/>
      <c r="D95" s="180"/>
      <c r="E95" s="181"/>
      <c r="F95" s="1"/>
      <c r="G95" s="172" t="s">
        <v>486</v>
      </c>
      <c r="H95" s="180"/>
      <c r="I95" s="180"/>
      <c r="J95" s="180"/>
      <c r="K95" s="18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9" t="s">
        <v>487</v>
      </c>
      <c r="B96" s="37">
        <f t="shared" ref="B96:E96" si="44">(AF30+AF22+AF23)/AF63</f>
        <v>14.90993164</v>
      </c>
      <c r="C96" s="37">
        <f t="shared" si="44"/>
        <v>10.69020634</v>
      </c>
      <c r="D96" s="37">
        <f t="shared" si="44"/>
        <v>8.535577798</v>
      </c>
      <c r="E96" s="178">
        <f t="shared" si="44"/>
        <v>7.051881505</v>
      </c>
      <c r="F96" s="1"/>
      <c r="G96" s="9" t="s">
        <v>487</v>
      </c>
      <c r="H96" s="37">
        <f t="shared" ref="H96:K96" si="45">AR30/AR60</f>
        <v>0.6483262604</v>
      </c>
      <c r="I96" s="37">
        <f t="shared" si="45"/>
        <v>1.312131868</v>
      </c>
      <c r="J96" s="37">
        <f t="shared" si="45"/>
        <v>1.232814726</v>
      </c>
      <c r="K96" s="178">
        <f t="shared" si="45"/>
        <v>2.180678703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9" t="s">
        <v>488</v>
      </c>
      <c r="B97" s="189">
        <f t="shared" ref="B97:E97" si="46">(AF22+AF23+AF30-AF5)/AF63</f>
        <v>12.65420185</v>
      </c>
      <c r="C97" s="189">
        <f t="shared" si="46"/>
        <v>9.364719558</v>
      </c>
      <c r="D97" s="189">
        <f t="shared" si="46"/>
        <v>7.905732484</v>
      </c>
      <c r="E97" s="190">
        <f t="shared" si="46"/>
        <v>6.45652522</v>
      </c>
      <c r="F97" s="1"/>
      <c r="G97" s="9" t="s">
        <v>488</v>
      </c>
      <c r="H97" s="189">
        <f t="shared" ref="H97:K97" si="47">(AR30-AR5)/AR60</f>
        <v>0.5558827839</v>
      </c>
      <c r="I97" s="189">
        <f t="shared" si="47"/>
        <v>1.2024067</v>
      </c>
      <c r="J97" s="189">
        <f t="shared" si="47"/>
        <v>1.17569942</v>
      </c>
      <c r="K97" s="190">
        <f t="shared" si="47"/>
        <v>1.992152962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45" t="s">
        <v>489</v>
      </c>
      <c r="B98" s="191">
        <f t="shared" ref="B98:E98" si="48">Z11/Z12*-1</f>
        <v>5.368891538</v>
      </c>
      <c r="C98" s="191">
        <f t="shared" si="48"/>
        <v>5.821318546</v>
      </c>
      <c r="D98" s="191">
        <f t="shared" si="48"/>
        <v>2.869201521</v>
      </c>
      <c r="E98" s="192">
        <f t="shared" si="48"/>
        <v>2.972132472</v>
      </c>
      <c r="F98" s="1"/>
      <c r="G98" s="45" t="s">
        <v>489</v>
      </c>
      <c r="H98" s="191">
        <f t="shared" ref="H98:K98" si="49">AL10/AL13</f>
        <v>7.608148021</v>
      </c>
      <c r="I98" s="191">
        <f t="shared" si="49"/>
        <v>5.584684015</v>
      </c>
      <c r="J98" s="191">
        <f t="shared" si="49"/>
        <v>4.350660669</v>
      </c>
      <c r="K98" s="192">
        <f t="shared" si="49"/>
        <v>1.8918897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1"/>
      <c r="B101" s="1"/>
      <c r="C101" s="1"/>
      <c r="D101" s="171" t="s">
        <v>492</v>
      </c>
      <c r="E101" s="3"/>
      <c r="F101" s="3"/>
      <c r="G101" s="3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1"/>
      <c r="B102" s="1"/>
      <c r="C102" s="1"/>
      <c r="D102" s="172" t="s">
        <v>471</v>
      </c>
      <c r="E102" s="173">
        <v>2021.0</v>
      </c>
      <c r="F102" s="173">
        <v>2022.0</v>
      </c>
      <c r="G102" s="173">
        <v>2023.0</v>
      </c>
      <c r="H102" s="174">
        <v>2024.0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1"/>
      <c r="B103" s="1"/>
      <c r="C103" s="1"/>
      <c r="D103" s="177" t="s">
        <v>475</v>
      </c>
      <c r="E103" s="37">
        <f t="shared" ref="E103:H103" si="50">AVERAGE(B65,H65,B84,H84)</f>
        <v>1.232246922</v>
      </c>
      <c r="F103" s="37">
        <f t="shared" si="50"/>
        <v>1.333386028</v>
      </c>
      <c r="G103" s="37">
        <f t="shared" si="50"/>
        <v>1.479334058</v>
      </c>
      <c r="H103" s="178">
        <f t="shared" si="50"/>
        <v>1.088669465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1"/>
      <c r="B104" s="1"/>
      <c r="C104" s="1"/>
      <c r="D104" s="177" t="s">
        <v>476</v>
      </c>
      <c r="E104" s="37">
        <f t="shared" ref="E104:H104" si="51">AVERAGE(B66,H66,B85,H85)</f>
        <v>0.7734340684</v>
      </c>
      <c r="F104" s="37">
        <f t="shared" si="51"/>
        <v>0.7835027648</v>
      </c>
      <c r="G104" s="37">
        <f t="shared" si="51"/>
        <v>0.8335562922</v>
      </c>
      <c r="H104" s="178">
        <f t="shared" si="51"/>
        <v>0.6450469185</v>
      </c>
      <c r="I104" s="1"/>
      <c r="J104" s="188"/>
      <c r="K104" s="77"/>
      <c r="L104" s="7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1"/>
      <c r="B105" s="1"/>
      <c r="C105" s="1"/>
      <c r="D105" s="172" t="s">
        <v>477</v>
      </c>
      <c r="E105" s="194"/>
      <c r="F105" s="194"/>
      <c r="G105" s="194"/>
      <c r="H105" s="195"/>
      <c r="I105" s="1"/>
      <c r="J105" s="188"/>
      <c r="K105" s="77"/>
      <c r="L105" s="7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1"/>
      <c r="B106" s="1"/>
      <c r="C106" s="1"/>
      <c r="D106" s="177" t="s">
        <v>478</v>
      </c>
      <c r="E106" s="37">
        <f t="shared" ref="E106:H106" si="52">AVERAGE(B68,H68,B87,H87)</f>
        <v>1.025315742</v>
      </c>
      <c r="F106" s="37">
        <f t="shared" si="52"/>
        <v>0.9479030377</v>
      </c>
      <c r="G106" s="37">
        <f t="shared" si="52"/>
        <v>0.8598777354</v>
      </c>
      <c r="H106" s="178">
        <f t="shared" si="52"/>
        <v>0.7853511543</v>
      </c>
      <c r="I106" s="1"/>
      <c r="J106" s="188"/>
      <c r="K106" s="77"/>
      <c r="L106" s="7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1"/>
      <c r="B107" s="1"/>
      <c r="C107" s="1"/>
      <c r="D107" s="177" t="s">
        <v>479</v>
      </c>
      <c r="E107" s="37">
        <f t="shared" ref="E107:H107" si="53">AVERAGE(B69,H69,B88,H88)</f>
        <v>0.1733448548</v>
      </c>
      <c r="F107" s="37">
        <f t="shared" si="53"/>
        <v>0.208353723</v>
      </c>
      <c r="G107" s="37">
        <f t="shared" si="53"/>
        <v>0.2029691139</v>
      </c>
      <c r="H107" s="178">
        <f t="shared" si="53"/>
        <v>0.2350024966</v>
      </c>
      <c r="I107" s="1"/>
      <c r="J107" s="1"/>
      <c r="K107" s="179"/>
      <c r="L107" s="179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1"/>
      <c r="B108" s="1"/>
      <c r="C108" s="1"/>
      <c r="D108" s="177" t="s">
        <v>480</v>
      </c>
      <c r="E108" s="182">
        <f t="shared" ref="E108:H108" si="54">AVERAGE(B70,H70,B89,H89)</f>
        <v>61.81261258</v>
      </c>
      <c r="F108" s="182">
        <f t="shared" si="54"/>
        <v>59.39564011</v>
      </c>
      <c r="G108" s="182">
        <f t="shared" si="54"/>
        <v>53.38381959</v>
      </c>
      <c r="H108" s="183">
        <f t="shared" si="54"/>
        <v>60.65287543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1"/>
      <c r="B109" s="1"/>
      <c r="C109" s="1"/>
      <c r="D109" s="177" t="s">
        <v>481</v>
      </c>
      <c r="E109" s="182">
        <f t="shared" ref="E109:H109" si="55">AVERAGE(B71,H71,B90,H90)</f>
        <v>76.86286153</v>
      </c>
      <c r="F109" s="182">
        <f t="shared" si="55"/>
        <v>73.96876741</v>
      </c>
      <c r="G109" s="182">
        <f t="shared" si="55"/>
        <v>63.686692</v>
      </c>
      <c r="H109" s="183">
        <f t="shared" si="55"/>
        <v>81.08496265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1"/>
      <c r="B110" s="1"/>
      <c r="C110" s="1"/>
      <c r="D110" s="185" t="s">
        <v>482</v>
      </c>
      <c r="E110" s="194"/>
      <c r="F110" s="194"/>
      <c r="G110" s="194"/>
      <c r="H110" s="19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1"/>
      <c r="B111" s="1"/>
      <c r="C111" s="1"/>
      <c r="D111" s="187" t="s">
        <v>483</v>
      </c>
      <c r="E111" s="32">
        <f t="shared" ref="E111:H111" si="56">AVERAGE(B73,H73,B92,H92)</f>
        <v>0.1998532445</v>
      </c>
      <c r="F111" s="32">
        <f t="shared" si="56"/>
        <v>0.2007349678</v>
      </c>
      <c r="G111" s="32">
        <f t="shared" si="56"/>
        <v>0.1976690498</v>
      </c>
      <c r="H111" s="36">
        <f t="shared" si="56"/>
        <v>0.197839132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1"/>
      <c r="B112" s="1"/>
      <c r="C112" s="1"/>
      <c r="D112" s="187" t="s">
        <v>484</v>
      </c>
      <c r="E112" s="32">
        <f t="shared" ref="E112:H112" si="57">AVERAGE(B74,H74,B93,H93)</f>
        <v>0.05091405616</v>
      </c>
      <c r="F112" s="32">
        <f t="shared" si="57"/>
        <v>0.06892875062</v>
      </c>
      <c r="G112" s="32">
        <f t="shared" si="57"/>
        <v>0.06744620416</v>
      </c>
      <c r="H112" s="36">
        <f t="shared" si="57"/>
        <v>0.04408343443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1"/>
      <c r="B113" s="1"/>
      <c r="C113" s="1"/>
      <c r="D113" s="187" t="s">
        <v>485</v>
      </c>
      <c r="E113" s="32">
        <f t="shared" ref="E113:H113" si="58">AVERAGE(B75,H75,B94,H94)</f>
        <v>0.04034357299</v>
      </c>
      <c r="F113" s="32">
        <f t="shared" si="58"/>
        <v>0.05931460088</v>
      </c>
      <c r="G113" s="32">
        <f t="shared" si="58"/>
        <v>0.05313789612</v>
      </c>
      <c r="H113" s="36">
        <f t="shared" si="58"/>
        <v>0.03166141668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1"/>
      <c r="B114" s="1"/>
      <c r="C114" s="1"/>
      <c r="D114" s="172" t="s">
        <v>486</v>
      </c>
      <c r="E114" s="194"/>
      <c r="F114" s="194"/>
      <c r="G114" s="194"/>
      <c r="H114" s="19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1"/>
      <c r="B115" s="1"/>
      <c r="C115" s="1"/>
      <c r="D115" s="9" t="s">
        <v>487</v>
      </c>
      <c r="E115" s="37">
        <f t="shared" ref="E115:H115" si="59">AVERAGE(B77,H77,B96,H96)</f>
        <v>4.959400453</v>
      </c>
      <c r="F115" s="37">
        <f t="shared" si="59"/>
        <v>4.116349937</v>
      </c>
      <c r="G115" s="37">
        <f t="shared" si="59"/>
        <v>3.552517459</v>
      </c>
      <c r="H115" s="178">
        <f t="shared" si="59"/>
        <v>3.307955844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1"/>
      <c r="B116" s="1"/>
      <c r="C116" s="1"/>
      <c r="D116" s="9" t="s">
        <v>488</v>
      </c>
      <c r="E116" s="189">
        <f t="shared" ref="E116:H116" si="60">AVERAGE(B78,H78,B97,H97)</f>
        <v>4.242508703</v>
      </c>
      <c r="F116" s="189">
        <f t="shared" si="60"/>
        <v>3.600464618</v>
      </c>
      <c r="G116" s="189">
        <f t="shared" si="60"/>
        <v>3.245145598</v>
      </c>
      <c r="H116" s="190">
        <f t="shared" si="60"/>
        <v>2.998925331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1"/>
      <c r="B117" s="1"/>
      <c r="C117" s="1"/>
      <c r="D117" s="45" t="s">
        <v>489</v>
      </c>
      <c r="E117" s="191">
        <f t="shared" ref="E117:H117" si="61">AVERAGE(B79,H79,B98,H98)</f>
        <v>6.364066145</v>
      </c>
      <c r="F117" s="191">
        <f t="shared" si="61"/>
        <v>5.885278183</v>
      </c>
      <c r="G117" s="191">
        <f t="shared" si="61"/>
        <v>3.986501495</v>
      </c>
      <c r="H117" s="192">
        <f t="shared" si="61"/>
        <v>2.841347414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16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16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16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1"/>
      <c r="B125" s="196"/>
      <c r="C125" s="196"/>
      <c r="D125" s="196"/>
      <c r="E125" s="196"/>
      <c r="F125" s="196"/>
      <c r="G125" s="196"/>
      <c r="H125" s="196"/>
      <c r="I125" s="196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1"/>
      <c r="B126" s="196"/>
      <c r="C126" s="196"/>
      <c r="D126" s="196"/>
      <c r="E126" s="196"/>
      <c r="F126" s="196"/>
      <c r="G126" s="196"/>
      <c r="H126" s="196"/>
      <c r="I126" s="19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1"/>
      <c r="B127" s="196"/>
      <c r="C127" s="196"/>
      <c r="D127" s="196"/>
      <c r="E127" s="196"/>
      <c r="F127" s="196"/>
      <c r="G127" s="196"/>
      <c r="H127" s="196"/>
      <c r="I127" s="19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1"/>
      <c r="B128" s="196"/>
      <c r="C128" s="196"/>
      <c r="D128" s="196" t="s">
        <v>493</v>
      </c>
      <c r="E128" s="196">
        <v>2021.0</v>
      </c>
      <c r="F128" s="196">
        <v>2022.0</v>
      </c>
      <c r="G128" s="196">
        <v>2023.0</v>
      </c>
      <c r="H128" s="196">
        <v>2024.0</v>
      </c>
      <c r="I128" s="196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1"/>
      <c r="B129" s="196"/>
      <c r="C129" s="196" t="s">
        <v>494</v>
      </c>
      <c r="D129" s="197" t="s">
        <v>495</v>
      </c>
      <c r="E129" s="198">
        <f t="array" ref="E129:H129">E103:H103</f>
        <v>1.232246922</v>
      </c>
      <c r="F129" s="198">
        <v>1.333386027981518</v>
      </c>
      <c r="G129" s="198">
        <v>1.4793340576741703</v>
      </c>
      <c r="H129" s="198">
        <v>1.088669464500729</v>
      </c>
      <c r="I129" s="19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1"/>
      <c r="B130" s="196"/>
      <c r="C130" s="196"/>
      <c r="D130" s="196"/>
      <c r="E130" s="199"/>
      <c r="F130" s="199"/>
      <c r="G130" s="199"/>
      <c r="H130" s="199"/>
      <c r="I130" s="196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1"/>
      <c r="B131" s="196"/>
      <c r="C131" s="196"/>
      <c r="D131" s="197" t="s">
        <v>496</v>
      </c>
      <c r="E131" s="198">
        <f t="array" ref="E131:H131">E115:H115</f>
        <v>4.959400453</v>
      </c>
      <c r="F131" s="198">
        <v>4.116349937260301</v>
      </c>
      <c r="G131" s="198">
        <v>3.5525174586491013</v>
      </c>
      <c r="H131" s="198">
        <v>3.3079558442747152</v>
      </c>
      <c r="I131" s="196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1"/>
      <c r="B132" s="196"/>
      <c r="C132" s="196"/>
      <c r="D132" s="196"/>
      <c r="E132" s="199"/>
      <c r="F132" s="199"/>
      <c r="G132" s="199"/>
      <c r="H132" s="199"/>
      <c r="I132" s="196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1"/>
      <c r="B133" s="196"/>
      <c r="C133" s="196"/>
      <c r="D133" s="196"/>
      <c r="E133" s="199"/>
      <c r="F133" s="199"/>
      <c r="G133" s="199"/>
      <c r="H133" s="199"/>
      <c r="I133" s="196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1"/>
      <c r="B134" s="196"/>
      <c r="C134" s="196"/>
      <c r="D134" s="196" t="s">
        <v>497</v>
      </c>
      <c r="E134" s="200">
        <f t="array" ref="E134:H134">E128:H128</f>
        <v>2021</v>
      </c>
      <c r="F134" s="200">
        <v>2022.0</v>
      </c>
      <c r="G134" s="200">
        <v>2023.0</v>
      </c>
      <c r="H134" s="200">
        <v>2024.0</v>
      </c>
      <c r="I134" s="196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1"/>
      <c r="B135" s="196"/>
      <c r="C135" s="196"/>
      <c r="D135" s="197" t="s">
        <v>498</v>
      </c>
      <c r="E135" s="198">
        <f t="array" ref="E135:H135">B65:E65</f>
        <v>1.211967779</v>
      </c>
      <c r="F135" s="198">
        <v>1.1469723691945914</v>
      </c>
      <c r="G135" s="198">
        <v>1.1858802502234138</v>
      </c>
      <c r="H135" s="198">
        <v>1.1652194320582023</v>
      </c>
      <c r="I135" s="196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1"/>
      <c r="B136" s="196"/>
      <c r="C136" s="196"/>
      <c r="D136" s="196"/>
      <c r="E136" s="199"/>
      <c r="F136" s="199"/>
      <c r="G136" s="199"/>
      <c r="H136" s="199"/>
      <c r="I136" s="196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1"/>
      <c r="B137" s="196"/>
      <c r="C137" s="196"/>
      <c r="D137" s="197" t="s">
        <v>499</v>
      </c>
      <c r="E137" s="198">
        <f t="array" ref="E137:H137">B77:E77</f>
        <v>1.304501141</v>
      </c>
      <c r="F137" s="198">
        <v>1.5672542864042502</v>
      </c>
      <c r="G137" s="198">
        <v>1.6493887530562348</v>
      </c>
      <c r="H137" s="198">
        <v>1.6946622818112826</v>
      </c>
      <c r="I137" s="196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1"/>
      <c r="B138" s="196"/>
      <c r="C138" s="196"/>
      <c r="D138" s="196"/>
      <c r="E138" s="199"/>
      <c r="F138" s="199"/>
      <c r="G138" s="199"/>
      <c r="H138" s="199"/>
      <c r="I138" s="196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1"/>
      <c r="B139" s="196"/>
      <c r="C139" s="196"/>
      <c r="D139" s="196"/>
      <c r="E139" s="196"/>
      <c r="F139" s="196"/>
      <c r="G139" s="196"/>
      <c r="H139" s="196"/>
      <c r="I139" s="19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1"/>
      <c r="B140" s="196"/>
      <c r="C140" s="196"/>
      <c r="D140" s="196"/>
      <c r="E140" s="196"/>
      <c r="F140" s="196"/>
      <c r="G140" s="196"/>
      <c r="H140" s="196"/>
      <c r="I140" s="196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1"/>
      <c r="B181" s="1"/>
      <c r="C181" s="1"/>
      <c r="D181" s="201"/>
      <c r="E181" s="201"/>
      <c r="F181" s="201"/>
      <c r="G181" s="201"/>
      <c r="H181" s="201"/>
      <c r="I181" s="201"/>
      <c r="J181" s="201"/>
      <c r="K181" s="201"/>
      <c r="L181" s="20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1"/>
      <c r="B182" s="1"/>
      <c r="C182" s="1"/>
      <c r="D182" s="201"/>
      <c r="E182" s="201"/>
      <c r="F182" s="201"/>
      <c r="G182" s="202"/>
      <c r="H182" s="202"/>
      <c r="I182" s="201"/>
      <c r="J182" s="203" t="s">
        <v>493</v>
      </c>
      <c r="K182" s="204" t="s">
        <v>497</v>
      </c>
      <c r="L182" s="20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1"/>
      <c r="B183" s="1"/>
      <c r="C183" s="1"/>
      <c r="D183" s="201"/>
      <c r="E183" s="201"/>
      <c r="F183" s="201"/>
      <c r="G183" s="201"/>
      <c r="H183" s="201"/>
      <c r="I183" s="201"/>
      <c r="J183" s="201"/>
      <c r="K183" s="201"/>
      <c r="L183" s="20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</row>
  </sheetData>
  <mergeCells count="15">
    <mergeCell ref="A2:E2"/>
    <mergeCell ref="A63:E63"/>
    <mergeCell ref="G63:K63"/>
    <mergeCell ref="M63:Q63"/>
    <mergeCell ref="S63:W63"/>
    <mergeCell ref="A82:E82"/>
    <mergeCell ref="G82:K82"/>
    <mergeCell ref="D101:H101"/>
    <mergeCell ref="G2:K2"/>
    <mergeCell ref="M2:Q2"/>
    <mergeCell ref="S2:W2"/>
    <mergeCell ref="Y2:AC2"/>
    <mergeCell ref="AE2:AI2"/>
    <mergeCell ref="AK2:AO2"/>
    <mergeCell ref="AQ2:AU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2.0"/>
    <col customWidth="1" min="2" max="2" width="12.44"/>
    <col customWidth="1" min="3" max="3" width="11.67"/>
    <col customWidth="1" min="4" max="4" width="14.44"/>
    <col customWidth="1" min="5" max="5" width="12.0"/>
    <col customWidth="1" min="6" max="6" width="10.33"/>
    <col customWidth="1" min="7" max="7" width="8.11"/>
    <col customWidth="1" min="8" max="8" width="21.67"/>
    <col customWidth="1" min="9" max="26" width="11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1</v>
      </c>
      <c r="C2" s="3"/>
      <c r="D2" s="3"/>
      <c r="E2" s="4"/>
      <c r="F2" s="1"/>
      <c r="G2" s="5" t="s">
        <v>3</v>
      </c>
      <c r="H2" s="3"/>
      <c r="I2" s="3"/>
      <c r="J2" s="3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3" t="s">
        <v>6</v>
      </c>
      <c r="C3" s="15" t="s">
        <v>7</v>
      </c>
      <c r="D3" s="15" t="s">
        <v>9</v>
      </c>
      <c r="E3" s="20" t="s">
        <v>11</v>
      </c>
      <c r="F3" s="1"/>
      <c r="G3" s="9"/>
      <c r="H3" s="12" t="s">
        <v>14</v>
      </c>
      <c r="I3" s="12" t="s">
        <v>16</v>
      </c>
      <c r="J3" s="12" t="s">
        <v>17</v>
      </c>
      <c r="K3" s="12" t="s">
        <v>19</v>
      </c>
      <c r="L3" s="14" t="s">
        <v>21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9" t="s">
        <v>24</v>
      </c>
      <c r="H4" s="32">
        <v>0.025</v>
      </c>
      <c r="I4" s="32">
        <v>0.032</v>
      </c>
      <c r="J4" s="32">
        <v>0.037</v>
      </c>
      <c r="K4" s="32">
        <v>0.0445</v>
      </c>
      <c r="L4" s="36">
        <v>0.055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"/>
      <c r="D5" s="1"/>
      <c r="E5" s="1"/>
      <c r="F5" s="1"/>
      <c r="G5" s="9" t="s">
        <v>29</v>
      </c>
      <c r="H5" s="32">
        <v>0.027</v>
      </c>
      <c r="I5" s="32">
        <v>0.036</v>
      </c>
      <c r="J5" s="32">
        <v>0.043</v>
      </c>
      <c r="K5" s="32">
        <v>0.0515</v>
      </c>
      <c r="L5" s="36">
        <v>0.0612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5" t="s">
        <v>31</v>
      </c>
      <c r="C6" s="3"/>
      <c r="D6" s="3"/>
      <c r="E6" s="4"/>
      <c r="F6" s="1"/>
      <c r="G6" s="9" t="s">
        <v>33</v>
      </c>
      <c r="H6" s="32">
        <v>0.031</v>
      </c>
      <c r="I6" s="32">
        <v>0.039</v>
      </c>
      <c r="J6" s="32">
        <v>0.046</v>
      </c>
      <c r="K6" s="32">
        <v>0.0535</v>
      </c>
      <c r="L6" s="36">
        <v>0.063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9"/>
      <c r="C7" s="12" t="s">
        <v>14</v>
      </c>
      <c r="D7" s="12" t="s">
        <v>16</v>
      </c>
      <c r="E7" s="14" t="s">
        <v>17</v>
      </c>
      <c r="F7" s="1"/>
      <c r="G7" s="41" t="s">
        <v>11</v>
      </c>
      <c r="H7" s="32">
        <v>0.043</v>
      </c>
      <c r="I7" s="32">
        <v>0.046</v>
      </c>
      <c r="J7" s="32">
        <v>0.0522</v>
      </c>
      <c r="K7" s="32">
        <v>0.063</v>
      </c>
      <c r="L7" s="36">
        <v>0.074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45" t="s">
        <v>11</v>
      </c>
      <c r="C8" s="51">
        <f t="shared" ref="C8:E8" si="1">(1+H15)/(1+H7)</f>
        <v>0.9731543624</v>
      </c>
      <c r="D8" s="51">
        <f t="shared" si="1"/>
        <v>0.9760994264</v>
      </c>
      <c r="E8" s="53">
        <f t="shared" si="1"/>
        <v>0.9741494013</v>
      </c>
      <c r="F8" s="1"/>
      <c r="G8" s="9" t="s">
        <v>51</v>
      </c>
      <c r="H8" s="32">
        <v>0.048</v>
      </c>
      <c r="I8" s="32">
        <v>0.055</v>
      </c>
      <c r="J8" s="32">
        <v>0.0655</v>
      </c>
      <c r="K8" s="32">
        <v>0.0735</v>
      </c>
      <c r="L8" s="36">
        <v>0.0845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9" t="s">
        <v>54</v>
      </c>
      <c r="H9" s="32">
        <v>0.057</v>
      </c>
      <c r="I9" s="32">
        <v>0.065</v>
      </c>
      <c r="J9" s="32">
        <v>0.078</v>
      </c>
      <c r="K9" s="32">
        <v>0.0895</v>
      </c>
      <c r="L9" s="36">
        <v>0.102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9" t="s">
        <v>58</v>
      </c>
      <c r="H10" s="32">
        <v>0.065</v>
      </c>
      <c r="I10" s="32">
        <v>0.071</v>
      </c>
      <c r="J10" s="32">
        <v>0.082</v>
      </c>
      <c r="K10" s="32">
        <v>0.1055</v>
      </c>
      <c r="L10" s="36">
        <v>0.111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2" t="s">
        <v>61</v>
      </c>
      <c r="C11" s="3"/>
      <c r="D11" s="3"/>
      <c r="E11" s="4"/>
      <c r="F11" s="1"/>
      <c r="G11" s="45" t="s">
        <v>64</v>
      </c>
      <c r="H11" s="51">
        <v>0.078</v>
      </c>
      <c r="I11" s="51">
        <v>0.088</v>
      </c>
      <c r="J11" s="51">
        <v>0.096</v>
      </c>
      <c r="K11" s="51">
        <v>0.105</v>
      </c>
      <c r="L11" s="53">
        <v>0.128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9"/>
      <c r="C12" s="12" t="s">
        <v>14</v>
      </c>
      <c r="D12" s="12" t="s">
        <v>16</v>
      </c>
      <c r="E12" s="14" t="s">
        <v>17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9" t="s">
        <v>69</v>
      </c>
      <c r="C13" s="32">
        <f t="shared" ref="C13:E13" si="2">1-C8</f>
        <v>0.02684563758</v>
      </c>
      <c r="D13" s="32">
        <f t="shared" si="2"/>
        <v>0.02390057361</v>
      </c>
      <c r="E13" s="36">
        <f t="shared" si="2"/>
        <v>0.02585059875</v>
      </c>
      <c r="F13" s="1"/>
      <c r="G13" s="5" t="s">
        <v>76</v>
      </c>
      <c r="H13" s="3"/>
      <c r="I13" s="3"/>
      <c r="J13" s="3"/>
      <c r="K13" s="3"/>
      <c r="L13" s="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62"/>
      <c r="C14" s="64"/>
      <c r="D14" s="64"/>
      <c r="E14" s="68"/>
      <c r="F14" s="1"/>
      <c r="G14" s="9" t="s">
        <v>86</v>
      </c>
      <c r="H14" s="12" t="s">
        <v>14</v>
      </c>
      <c r="I14" s="12" t="s">
        <v>16</v>
      </c>
      <c r="J14" s="12" t="s">
        <v>17</v>
      </c>
      <c r="K14" s="12" t="s">
        <v>19</v>
      </c>
      <c r="L14" s="14" t="s">
        <v>21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69" t="s">
        <v>89</v>
      </c>
      <c r="C15" s="70"/>
      <c r="D15" s="71"/>
      <c r="E15" s="72">
        <f>1-PRODUCT(C8:E8)</f>
        <v>0.07465995028</v>
      </c>
      <c r="F15" s="1"/>
      <c r="G15" s="45" t="s">
        <v>92</v>
      </c>
      <c r="H15" s="51">
        <v>0.015</v>
      </c>
      <c r="I15" s="51">
        <v>0.021</v>
      </c>
      <c r="J15" s="51">
        <v>0.025</v>
      </c>
      <c r="K15" s="51">
        <v>0.032</v>
      </c>
      <c r="L15" s="53">
        <v>0.041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39"/>
      <c r="G18" s="39"/>
      <c r="H18" s="39"/>
      <c r="I18" s="1"/>
      <c r="J18" s="77"/>
      <c r="K18" s="7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77"/>
      <c r="I20" s="77"/>
      <c r="J20" s="7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39"/>
      <c r="G21" s="39"/>
      <c r="H21" s="3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7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7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7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2:E2"/>
    <mergeCell ref="G2:L2"/>
    <mergeCell ref="B6:E6"/>
    <mergeCell ref="B11:E11"/>
    <mergeCell ref="G13:L13"/>
    <mergeCell ref="B15:D1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1.0"/>
    <col customWidth="1" min="2" max="2" width="33.67"/>
    <col customWidth="1" min="3" max="8" width="11.0"/>
    <col customWidth="1" min="9" max="9" width="30.78"/>
    <col customWidth="1" min="10" max="12" width="15.0"/>
    <col customWidth="1" min="13" max="13" width="16.44"/>
    <col customWidth="1" min="14" max="26" width="11.0"/>
  </cols>
  <sheetData>
    <row r="1" ht="15.75" customHeight="1">
      <c r="A1" s="1"/>
      <c r="B1" s="2" t="s">
        <v>0</v>
      </c>
      <c r="C1" s="3"/>
      <c r="D1" s="3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9" t="s">
        <v>5</v>
      </c>
      <c r="C2" s="12">
        <v>2021.0</v>
      </c>
      <c r="D2" s="12">
        <v>2022.0</v>
      </c>
      <c r="E2" s="12">
        <v>2023.0</v>
      </c>
      <c r="F2" s="14">
        <v>2024.0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8" t="s">
        <v>10</v>
      </c>
      <c r="C3" s="19"/>
      <c r="D3" s="19"/>
      <c r="E3" s="19"/>
      <c r="F3" s="2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8" t="s">
        <v>18</v>
      </c>
      <c r="C4" s="24">
        <v>850.0</v>
      </c>
      <c r="D4" s="24">
        <v>775.0</v>
      </c>
      <c r="E4" s="28">
        <v>689.0</v>
      </c>
      <c r="F4" s="30">
        <v>588.0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9" t="s">
        <v>26</v>
      </c>
      <c r="C5" s="33">
        <v>1864.0</v>
      </c>
      <c r="D5" s="33">
        <v>1935.0</v>
      </c>
      <c r="E5" s="33">
        <v>1875.0</v>
      </c>
      <c r="F5" s="35">
        <v>1846.0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9" t="s">
        <v>27</v>
      </c>
      <c r="C6" s="37" t="s">
        <v>28</v>
      </c>
      <c r="D6" s="37" t="s">
        <v>28</v>
      </c>
      <c r="E6" s="33">
        <v>992.0</v>
      </c>
      <c r="F6" s="35">
        <v>862.0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9" t="s">
        <v>30</v>
      </c>
      <c r="C7" s="37" t="s">
        <v>28</v>
      </c>
      <c r="D7" s="37" t="s">
        <v>28</v>
      </c>
      <c r="E7" s="33">
        <v>1221.0</v>
      </c>
      <c r="F7" s="35">
        <v>1169.0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8" t="s">
        <v>32</v>
      </c>
      <c r="C8" s="28">
        <v>1991.0</v>
      </c>
      <c r="D8" s="28">
        <v>2439.0</v>
      </c>
      <c r="E8" s="28">
        <f t="shared" ref="E8:F8" si="1">SUM(E6:E7)</f>
        <v>2213</v>
      </c>
      <c r="F8" s="30">
        <f t="shared" si="1"/>
        <v>2031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9" t="s">
        <v>35</v>
      </c>
      <c r="C9" s="33">
        <v>561.0</v>
      </c>
      <c r="D9" s="33">
        <v>512.0</v>
      </c>
      <c r="E9" s="33">
        <v>531.0</v>
      </c>
      <c r="F9" s="35">
        <v>500.0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8" t="s">
        <v>36</v>
      </c>
      <c r="C10" s="28">
        <v>5266.0</v>
      </c>
      <c r="D10" s="28">
        <v>5853.0</v>
      </c>
      <c r="E10" s="28">
        <v>5308.0</v>
      </c>
      <c r="F10" s="30">
        <v>4965.0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9" t="s">
        <v>39</v>
      </c>
      <c r="C11" s="33"/>
      <c r="D11" s="33"/>
      <c r="E11" s="33"/>
      <c r="F11" s="3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9" t="s">
        <v>41</v>
      </c>
      <c r="C12" s="33">
        <v>3761.0</v>
      </c>
      <c r="D12" s="33">
        <v>3646.0</v>
      </c>
      <c r="E12" s="33">
        <v>3762.0</v>
      </c>
      <c r="F12" s="35">
        <v>3763.0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9" t="s">
        <v>43</v>
      </c>
      <c r="C13" s="33">
        <v>532.0</v>
      </c>
      <c r="D13" s="33">
        <v>560.0</v>
      </c>
      <c r="E13" s="33">
        <v>533.0</v>
      </c>
      <c r="F13" s="35">
        <v>567.0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9" t="s">
        <v>44</v>
      </c>
      <c r="C14" s="33">
        <v>139.0</v>
      </c>
      <c r="D14" s="33">
        <v>130.0</v>
      </c>
      <c r="E14" s="33">
        <v>134.0</v>
      </c>
      <c r="F14" s="35">
        <v>148.0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9" t="s">
        <v>45</v>
      </c>
      <c r="C15" s="33">
        <v>1835.0</v>
      </c>
      <c r="D15" s="33">
        <v>1657.0</v>
      </c>
      <c r="E15" s="33">
        <v>1524.0</v>
      </c>
      <c r="F15" s="35">
        <v>1391.0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9" t="s">
        <v>48</v>
      </c>
      <c r="C16" s="33">
        <v>5419.0</v>
      </c>
      <c r="D16" s="33">
        <v>5285.0</v>
      </c>
      <c r="E16" s="33">
        <v>5366.0</v>
      </c>
      <c r="F16" s="35">
        <v>5345.0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9" t="s">
        <v>49</v>
      </c>
      <c r="C17" s="33">
        <v>52.0</v>
      </c>
      <c r="D17" s="33">
        <v>89.0</v>
      </c>
      <c r="E17" s="33">
        <v>67.0</v>
      </c>
      <c r="F17" s="35">
        <v>34.0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9" t="s">
        <v>50</v>
      </c>
      <c r="C18" s="33">
        <v>184.0</v>
      </c>
      <c r="D18" s="33">
        <v>206.0</v>
      </c>
      <c r="E18" s="33">
        <v>309.0</v>
      </c>
      <c r="F18" s="35">
        <v>311.0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9" t="s">
        <v>53</v>
      </c>
      <c r="C19" s="33">
        <v>11922.0</v>
      </c>
      <c r="D19" s="33">
        <v>11573.0</v>
      </c>
      <c r="E19" s="33">
        <v>11695.0</v>
      </c>
      <c r="F19" s="35">
        <v>11559.0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8" t="s">
        <v>55</v>
      </c>
      <c r="C20" s="28">
        <v>17188.0</v>
      </c>
      <c r="D20" s="28">
        <v>17426.0</v>
      </c>
      <c r="E20" s="28">
        <v>17003.0</v>
      </c>
      <c r="F20" s="30">
        <v>16524.0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9" t="s">
        <v>57</v>
      </c>
      <c r="C21" s="33"/>
      <c r="D21" s="33"/>
      <c r="E21" s="33"/>
      <c r="F21" s="3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9" t="s">
        <v>60</v>
      </c>
      <c r="C22" s="33">
        <v>5.0</v>
      </c>
      <c r="D22" s="33">
        <v>14.0</v>
      </c>
      <c r="E22" s="33">
        <v>13.0</v>
      </c>
      <c r="F22" s="35">
        <v>12.0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9" t="s">
        <v>62</v>
      </c>
      <c r="C23" s="33">
        <v>98.0</v>
      </c>
      <c r="D23" s="33">
        <v>136.0</v>
      </c>
      <c r="E23" s="33">
        <v>80.0</v>
      </c>
      <c r="F23" s="35">
        <v>84.0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9" t="s">
        <v>65</v>
      </c>
      <c r="C24" s="33">
        <v>2574.0</v>
      </c>
      <c r="D24" s="33">
        <v>3073.0</v>
      </c>
      <c r="E24" s="33">
        <v>2690.0</v>
      </c>
      <c r="F24" s="35">
        <v>2580.0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9" t="s">
        <v>66</v>
      </c>
      <c r="C25" s="33">
        <v>523.0</v>
      </c>
      <c r="D25" s="33">
        <v>471.0</v>
      </c>
      <c r="E25" s="33">
        <v>396.0</v>
      </c>
      <c r="F25" s="35">
        <v>399.0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9" t="s">
        <v>68</v>
      </c>
      <c r="C26" s="33">
        <v>1145.0</v>
      </c>
      <c r="D26" s="33">
        <v>1344.0</v>
      </c>
      <c r="E26" s="33">
        <v>1297.0</v>
      </c>
      <c r="F26" s="35">
        <v>1186.0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8" t="s">
        <v>70</v>
      </c>
      <c r="C27" s="28">
        <v>4345.0</v>
      </c>
      <c r="D27" s="28">
        <v>5103.0</v>
      </c>
      <c r="E27" s="28">
        <v>4476.0</v>
      </c>
      <c r="F27" s="30">
        <v>4261.0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9" t="s">
        <v>71</v>
      </c>
      <c r="C28" s="33"/>
      <c r="D28" s="33"/>
      <c r="E28" s="33"/>
      <c r="F28" s="3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9" t="s">
        <v>73</v>
      </c>
      <c r="C29" s="33">
        <v>6186.0</v>
      </c>
      <c r="D29" s="33">
        <v>6340.0</v>
      </c>
      <c r="E29" s="33">
        <v>6653.0</v>
      </c>
      <c r="F29" s="35">
        <v>6603.0</v>
      </c>
      <c r="G29" s="1"/>
      <c r="H29" s="1"/>
      <c r="I29" s="43" t="s">
        <v>74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9" t="s">
        <v>75</v>
      </c>
      <c r="C30" s="33">
        <v>462.0</v>
      </c>
      <c r="D30" s="33">
        <v>493.0</v>
      </c>
      <c r="E30" s="33">
        <v>463.0</v>
      </c>
      <c r="F30" s="35">
        <v>488.0</v>
      </c>
      <c r="G30" s="1"/>
      <c r="H30" s="1"/>
      <c r="I30" s="58" t="s">
        <v>77</v>
      </c>
      <c r="J30" s="59" t="s">
        <v>79</v>
      </c>
      <c r="K30" s="1"/>
      <c r="L30" s="60" t="s">
        <v>80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9" t="s">
        <v>81</v>
      </c>
      <c r="C31" s="33">
        <v>696.0</v>
      </c>
      <c r="D31" s="33">
        <v>677.0</v>
      </c>
      <c r="E31" s="33">
        <v>616.0</v>
      </c>
      <c r="F31" s="35">
        <v>584.0</v>
      </c>
      <c r="G31" s="1"/>
      <c r="H31" s="1"/>
      <c r="I31" s="61" t="s">
        <v>83</v>
      </c>
      <c r="J31" s="67">
        <f>F10-F27</f>
        <v>704</v>
      </c>
      <c r="K31" s="1"/>
      <c r="L31" s="60" t="s">
        <v>84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9" t="s">
        <v>87</v>
      </c>
      <c r="C32" s="33">
        <v>307.0</v>
      </c>
      <c r="D32" s="33">
        <v>201.0</v>
      </c>
      <c r="E32" s="33">
        <v>224.0</v>
      </c>
      <c r="F32" s="35">
        <v>217.0</v>
      </c>
      <c r="G32" s="1"/>
      <c r="H32" s="1"/>
      <c r="I32" s="61" t="s">
        <v>88</v>
      </c>
      <c r="J32" s="67">
        <f>F40</f>
        <v>879</v>
      </c>
      <c r="K32" s="1"/>
      <c r="L32" s="60" t="s">
        <v>91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9" t="s">
        <v>94</v>
      </c>
      <c r="C33" s="33">
        <v>371.0</v>
      </c>
      <c r="D33" s="33">
        <v>471.0</v>
      </c>
      <c r="E33" s="33">
        <v>481.0</v>
      </c>
      <c r="F33" s="35">
        <v>418.0</v>
      </c>
      <c r="G33" s="1"/>
      <c r="H33" s="1"/>
      <c r="I33" s="61" t="s">
        <v>95</v>
      </c>
      <c r="J33" s="67">
        <f>'Five Cs'!K12</f>
        <v>1214</v>
      </c>
      <c r="K33" s="1"/>
      <c r="L33" s="60" t="s">
        <v>96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9" t="s">
        <v>97</v>
      </c>
      <c r="C34" s="33">
        <v>8022.0</v>
      </c>
      <c r="D34" s="33">
        <v>8182.0</v>
      </c>
      <c r="E34" s="33">
        <v>8437.0</v>
      </c>
      <c r="F34" s="35">
        <v>8310.0</v>
      </c>
      <c r="G34" s="1"/>
      <c r="H34" s="1"/>
      <c r="I34" s="61" t="s">
        <v>98</v>
      </c>
      <c r="J34" s="67">
        <f>J38*J39</f>
        <v>13621.92</v>
      </c>
      <c r="K34" s="1"/>
      <c r="L34" s="60" t="s">
        <v>99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8" t="s">
        <v>101</v>
      </c>
      <c r="C35" s="28">
        <v>12367.0</v>
      </c>
      <c r="D35" s="28">
        <v>13285.0</v>
      </c>
      <c r="E35" s="28">
        <v>12913.0</v>
      </c>
      <c r="F35" s="30">
        <v>12571.0</v>
      </c>
      <c r="G35" s="1"/>
      <c r="H35" s="1"/>
      <c r="I35" s="61" t="s">
        <v>102</v>
      </c>
      <c r="J35" s="67">
        <f>'Five Cs'!K4</f>
        <v>13640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9" t="s">
        <v>104</v>
      </c>
      <c r="C36" s="33"/>
      <c r="D36" s="33"/>
      <c r="E36" s="33"/>
      <c r="F36" s="35"/>
      <c r="G36" s="1"/>
      <c r="H36" s="1"/>
      <c r="I36" s="61" t="s">
        <v>105</v>
      </c>
      <c r="J36" s="67">
        <f>F20</f>
        <v>16524</v>
      </c>
      <c r="K36" s="1"/>
      <c r="L36" s="78" t="s">
        <v>107</v>
      </c>
      <c r="M36" s="79" t="s">
        <v>109</v>
      </c>
      <c r="N36" s="80"/>
      <c r="O36" s="80"/>
      <c r="P36" s="80"/>
      <c r="Q36" s="8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9" t="s">
        <v>111</v>
      </c>
      <c r="C37" s="33"/>
      <c r="D37" s="33"/>
      <c r="E37" s="33"/>
      <c r="F37" s="35"/>
      <c r="G37" s="1"/>
      <c r="H37" s="1"/>
      <c r="I37" s="61" t="s">
        <v>113</v>
      </c>
      <c r="J37" s="67">
        <f>F35</f>
        <v>12571</v>
      </c>
      <c r="K37" s="1"/>
      <c r="L37" s="83" t="s">
        <v>115</v>
      </c>
      <c r="M37" s="86" t="s">
        <v>116</v>
      </c>
      <c r="N37" s="10"/>
      <c r="O37" s="10"/>
      <c r="P37" s="10"/>
      <c r="Q37" s="87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9" t="s">
        <v>118</v>
      </c>
      <c r="C38" s="33">
        <v>15.0</v>
      </c>
      <c r="D38" s="33">
        <v>15.0</v>
      </c>
      <c r="E38" s="33">
        <v>14.0</v>
      </c>
      <c r="F38" s="35">
        <v>14.0</v>
      </c>
      <c r="G38" s="1"/>
      <c r="H38" s="1"/>
      <c r="I38" s="61" t="s">
        <v>120</v>
      </c>
      <c r="J38" s="88">
        <f>'KMV model'!L3</f>
        <v>9.44</v>
      </c>
      <c r="K38" s="1"/>
      <c r="L38" s="83" t="s">
        <v>122</v>
      </c>
      <c r="M38" s="89" t="s">
        <v>123</v>
      </c>
      <c r="N38" s="10"/>
      <c r="O38" s="10"/>
      <c r="P38" s="10"/>
      <c r="Q38" s="87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9" t="s">
        <v>124</v>
      </c>
      <c r="C39" s="33">
        <v>5092.0</v>
      </c>
      <c r="D39" s="33">
        <v>4431.0</v>
      </c>
      <c r="E39" s="33">
        <v>4021.0</v>
      </c>
      <c r="F39" s="35">
        <v>4019.0</v>
      </c>
      <c r="G39" s="1"/>
      <c r="H39" s="1"/>
      <c r="I39" s="91" t="s">
        <v>125</v>
      </c>
      <c r="J39" s="92">
        <v>1443.0</v>
      </c>
      <c r="K39" s="1"/>
      <c r="L39" s="93" t="s">
        <v>126</v>
      </c>
      <c r="M39" s="94" t="s">
        <v>127</v>
      </c>
      <c r="N39" s="95"/>
      <c r="O39" s="95"/>
      <c r="P39" s="95"/>
      <c r="Q39" s="96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8" t="s">
        <v>130</v>
      </c>
      <c r="C40" s="28">
        <v>452.0</v>
      </c>
      <c r="D40" s="28">
        <v>534.0</v>
      </c>
      <c r="E40" s="28">
        <v>865.0</v>
      </c>
      <c r="F40" s="30">
        <v>879.0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9" t="s">
        <v>131</v>
      </c>
      <c r="C41" s="33">
        <v>-766.0</v>
      </c>
      <c r="D41" s="33">
        <v>-880.0</v>
      </c>
      <c r="E41" s="33">
        <v>-862.0</v>
      </c>
      <c r="F41" s="35">
        <v>-1020.0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9" t="s">
        <v>134</v>
      </c>
      <c r="C42" s="33">
        <v>-29.0</v>
      </c>
      <c r="D42" s="33">
        <v>-18.0</v>
      </c>
      <c r="E42" s="33">
        <v>-12.0</v>
      </c>
      <c r="F42" s="35">
        <v>-11.0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9" t="s">
        <v>135</v>
      </c>
      <c r="C43" s="33">
        <v>4764.0</v>
      </c>
      <c r="D43" s="33">
        <v>4082.0</v>
      </c>
      <c r="E43" s="33">
        <v>4026.0</v>
      </c>
      <c r="F43" s="35">
        <v>3881.0</v>
      </c>
      <c r="G43" s="1"/>
      <c r="H43" s="1"/>
      <c r="I43" s="98" t="s">
        <v>136</v>
      </c>
      <c r="J43" s="85"/>
      <c r="K43" s="85"/>
      <c r="L43" s="85"/>
      <c r="M43" s="27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9" t="s">
        <v>137</v>
      </c>
      <c r="C44" s="33">
        <v>57.0</v>
      </c>
      <c r="D44" s="33">
        <v>59.0</v>
      </c>
      <c r="E44" s="33">
        <v>64.0</v>
      </c>
      <c r="F44" s="35">
        <v>72.0</v>
      </c>
      <c r="G44" s="1"/>
      <c r="H44" s="1"/>
      <c r="I44" s="100" t="s">
        <v>138</v>
      </c>
      <c r="J44" s="101" t="s">
        <v>139</v>
      </c>
      <c r="K44" s="101" t="s">
        <v>140</v>
      </c>
      <c r="L44" s="101" t="s">
        <v>141</v>
      </c>
      <c r="M44" s="101" t="s">
        <v>142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8" t="s">
        <v>143</v>
      </c>
      <c r="C45" s="28">
        <v>4821.0</v>
      </c>
      <c r="D45" s="28">
        <v>4141.0</v>
      </c>
      <c r="E45" s="28">
        <v>4090.0</v>
      </c>
      <c r="F45" s="30">
        <v>3953.0</v>
      </c>
      <c r="G45" s="1"/>
      <c r="H45" s="1"/>
      <c r="I45" s="102">
        <f>J31/J36</f>
        <v>0.0426046962</v>
      </c>
      <c r="J45" s="104">
        <f>J32/J36</f>
        <v>0.05319535221</v>
      </c>
      <c r="K45" s="104">
        <f>J33/J36</f>
        <v>0.07346889373</v>
      </c>
      <c r="L45" s="104">
        <f>J34/J37</f>
        <v>1.083598759</v>
      </c>
      <c r="M45" s="104">
        <f>J35/J36</f>
        <v>0.8254659889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1"/>
      <c r="B46" s="45" t="s">
        <v>148</v>
      </c>
      <c r="C46" s="107">
        <v>17188.0</v>
      </c>
      <c r="D46" s="107">
        <v>17426.0</v>
      </c>
      <c r="E46" s="107">
        <v>17003.0</v>
      </c>
      <c r="F46" s="108">
        <v>16524.0</v>
      </c>
      <c r="G46" s="1"/>
      <c r="H46" s="1"/>
      <c r="I46" s="102" t="s">
        <v>149</v>
      </c>
      <c r="J46" s="110" t="s">
        <v>150</v>
      </c>
      <c r="K46" s="85"/>
      <c r="L46" s="85"/>
      <c r="M46" s="27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12" t="s">
        <v>151</v>
      </c>
      <c r="J47" s="113">
        <f>1.2*(I45)+1.4*(J45)+3.3*(K45)+0.6*(L45)+1*(M45)</f>
        <v>1.843671722</v>
      </c>
      <c r="K47" s="85"/>
      <c r="L47" s="85"/>
      <c r="M47" s="27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43" t="s">
        <v>152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M36:Q36"/>
    <mergeCell ref="M37:Q37"/>
    <mergeCell ref="M38:Q38"/>
    <mergeCell ref="M39:Q39"/>
    <mergeCell ref="I43:M43"/>
    <mergeCell ref="J46:M46"/>
    <mergeCell ref="J47:M47"/>
    <mergeCell ref="I49:M49"/>
    <mergeCell ref="B1:F1"/>
    <mergeCell ref="I29:J29"/>
    <mergeCell ref="L30:M30"/>
    <mergeCell ref="L31:M31"/>
    <mergeCell ref="L32:M32"/>
    <mergeCell ref="L33:N33"/>
    <mergeCell ref="L34:M34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9.67"/>
    <col customWidth="1" min="2" max="2" width="30.44"/>
    <col customWidth="1" min="3" max="3" width="17.67"/>
    <col customWidth="1" min="4" max="5" width="12.67"/>
    <col customWidth="1" min="6" max="6" width="11.0"/>
    <col customWidth="1" min="7" max="7" width="33.44"/>
    <col customWidth="1" min="8" max="8" width="6.33"/>
    <col customWidth="1" min="9" max="9" width="1.78"/>
    <col customWidth="1" min="10" max="10" width="12.33"/>
    <col customWidth="1" min="11" max="12" width="10.78"/>
    <col customWidth="1" min="13" max="13" width="12.33"/>
    <col customWidth="1" min="14" max="15" width="10.78"/>
    <col customWidth="1" min="16" max="16" width="23.11"/>
    <col customWidth="1" min="17" max="26" width="11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6"/>
      <c r="J1" s="7" t="s">
        <v>2</v>
      </c>
      <c r="K1" s="8" t="s">
        <v>4</v>
      </c>
      <c r="L1" s="10"/>
      <c r="M1" s="1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6" t="s">
        <v>8</v>
      </c>
      <c r="C2" s="17"/>
      <c r="D2" s="1"/>
      <c r="E2" s="1"/>
      <c r="F2" s="1"/>
      <c r="G2" s="1"/>
      <c r="H2" s="1"/>
      <c r="I2" s="6"/>
      <c r="J2" s="1"/>
      <c r="K2" s="21" t="s">
        <v>12</v>
      </c>
      <c r="L2" s="23" t="s">
        <v>13</v>
      </c>
      <c r="M2" s="23" t="s">
        <v>15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4.5" customHeight="1">
      <c r="A3" s="1"/>
      <c r="B3" s="25" t="s">
        <v>20</v>
      </c>
      <c r="C3" s="25" t="s">
        <v>22</v>
      </c>
      <c r="D3" s="1"/>
      <c r="E3" s="1"/>
      <c r="F3" s="26" t="s">
        <v>23</v>
      </c>
      <c r="G3" s="27"/>
      <c r="H3" s="29"/>
      <c r="I3" s="6"/>
      <c r="J3" s="1"/>
      <c r="K3" s="31" t="s">
        <v>25</v>
      </c>
      <c r="L3" s="34">
        <v>9.44</v>
      </c>
      <c r="M3" s="38">
        <f t="shared" ref="M3:M253" si="1">(L3/L4)-1</f>
        <v>0.01396348013</v>
      </c>
      <c r="N3" s="3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40" t="s">
        <v>34</v>
      </c>
      <c r="C4" s="42">
        <f>'Altman Score'!J34</f>
        <v>13621.92</v>
      </c>
      <c r="D4" s="43"/>
      <c r="E4" s="43"/>
      <c r="F4" s="44" t="s">
        <v>37</v>
      </c>
      <c r="G4" s="44" t="s">
        <v>38</v>
      </c>
      <c r="H4" s="43"/>
      <c r="I4" s="6"/>
      <c r="J4" s="1"/>
      <c r="K4" s="31" t="s">
        <v>40</v>
      </c>
      <c r="L4" s="46">
        <v>9.31</v>
      </c>
      <c r="M4" s="38">
        <f t="shared" si="1"/>
        <v>0.01416122004</v>
      </c>
      <c r="N4" s="3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40" t="s">
        <v>42</v>
      </c>
      <c r="C5" s="42">
        <f>'Altman Score'!J37</f>
        <v>12571</v>
      </c>
      <c r="D5" s="43"/>
      <c r="E5" s="43"/>
      <c r="F5" s="47">
        <v>1.0</v>
      </c>
      <c r="G5" s="48">
        <v>0.5</v>
      </c>
      <c r="H5" s="49"/>
      <c r="I5" s="6"/>
      <c r="J5" s="1"/>
      <c r="K5" s="31" t="s">
        <v>46</v>
      </c>
      <c r="L5" s="46">
        <v>9.18</v>
      </c>
      <c r="M5" s="38">
        <f t="shared" si="1"/>
        <v>0.001090512541</v>
      </c>
      <c r="N5" s="39"/>
      <c r="O5" s="1"/>
      <c r="P5" s="50" t="s">
        <v>47</v>
      </c>
      <c r="Q5" s="52">
        <f>_xlfn.STDEV.S(M3:M254)</f>
        <v>0.01450621606</v>
      </c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54" t="s">
        <v>52</v>
      </c>
      <c r="C6" s="55">
        <f>C4+C5</f>
        <v>26192.92</v>
      </c>
      <c r="D6" s="43"/>
      <c r="E6" s="43"/>
      <c r="F6" s="47">
        <v>2.0</v>
      </c>
      <c r="G6" s="48">
        <v>0.35</v>
      </c>
      <c r="H6" s="49"/>
      <c r="I6" s="6"/>
      <c r="J6" s="1"/>
      <c r="K6" s="31" t="s">
        <v>56</v>
      </c>
      <c r="L6" s="46">
        <v>9.17</v>
      </c>
      <c r="M6" s="38">
        <f t="shared" si="1"/>
        <v>-0.0182012848</v>
      </c>
      <c r="N6" s="39"/>
      <c r="O6" s="1"/>
      <c r="P6" s="50" t="s">
        <v>59</v>
      </c>
      <c r="Q6" s="52">
        <f>Q5*SQRT(252)</f>
        <v>0.2302790409</v>
      </c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56" t="s">
        <v>63</v>
      </c>
      <c r="C7" s="57">
        <f>Q6</f>
        <v>0.2302790409</v>
      </c>
      <c r="D7" s="43"/>
      <c r="E7" s="43"/>
      <c r="F7" s="47">
        <v>3.0</v>
      </c>
      <c r="G7" s="48">
        <v>0.1</v>
      </c>
      <c r="H7" s="49"/>
      <c r="I7" s="6"/>
      <c r="J7" s="1"/>
      <c r="K7" s="31">
        <v>45996.0</v>
      </c>
      <c r="L7" s="46">
        <v>9.34</v>
      </c>
      <c r="M7" s="38">
        <f t="shared" si="1"/>
        <v>0.02412280702</v>
      </c>
      <c r="N7" s="39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40" t="s">
        <v>67</v>
      </c>
      <c r="C8" s="57">
        <f>C7*(C4/C6)</f>
        <v>0.119759182</v>
      </c>
      <c r="D8" s="43"/>
      <c r="E8" s="43"/>
      <c r="F8" s="47">
        <v>4.0</v>
      </c>
      <c r="G8" s="48">
        <v>0.05</v>
      </c>
      <c r="H8" s="49"/>
      <c r="I8" s="6"/>
      <c r="J8" s="1"/>
      <c r="K8" s="31">
        <v>45905.0</v>
      </c>
      <c r="L8" s="46">
        <v>9.12</v>
      </c>
      <c r="M8" s="38">
        <f t="shared" si="1"/>
        <v>-0.005452562704</v>
      </c>
      <c r="N8" s="39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40" t="s">
        <v>72</v>
      </c>
      <c r="C9" s="42">
        <f>'Altman Score'!F27</f>
        <v>4261</v>
      </c>
      <c r="D9" s="43"/>
      <c r="E9" s="43"/>
      <c r="F9" s="47">
        <v>5.0</v>
      </c>
      <c r="G9" s="48">
        <v>0.02</v>
      </c>
      <c r="H9" s="49"/>
      <c r="I9" s="6"/>
      <c r="J9" s="1"/>
      <c r="K9" s="31">
        <v>45874.0</v>
      </c>
      <c r="L9" s="46">
        <v>9.17</v>
      </c>
      <c r="M9" s="38">
        <f t="shared" si="1"/>
        <v>0.006586169045</v>
      </c>
      <c r="N9" s="3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40" t="s">
        <v>78</v>
      </c>
      <c r="C10" s="42">
        <f>'Altman Score'!F29</f>
        <v>6603</v>
      </c>
      <c r="D10" s="43"/>
      <c r="E10" s="43"/>
      <c r="F10" s="47">
        <v>6.0</v>
      </c>
      <c r="G10" s="48">
        <v>0.01</v>
      </c>
      <c r="H10" s="49"/>
      <c r="I10" s="6"/>
      <c r="J10" s="1"/>
      <c r="K10" s="31">
        <v>45843.0</v>
      </c>
      <c r="L10" s="46">
        <v>9.11</v>
      </c>
      <c r="M10" s="38">
        <f t="shared" si="1"/>
        <v>-0.007625272331</v>
      </c>
      <c r="N10" s="39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40" t="s">
        <v>82</v>
      </c>
      <c r="C11" s="63">
        <v>0.9808</v>
      </c>
      <c r="D11" s="43"/>
      <c r="E11" s="43"/>
      <c r="F11" s="47">
        <v>7.0</v>
      </c>
      <c r="G11" s="65">
        <v>0.001</v>
      </c>
      <c r="H11" s="66"/>
      <c r="I11" s="6"/>
      <c r="J11" s="1"/>
      <c r="K11" s="31">
        <v>45813.0</v>
      </c>
      <c r="L11" s="46">
        <v>9.18</v>
      </c>
      <c r="M11" s="38">
        <f t="shared" si="1"/>
        <v>-0.01396348013</v>
      </c>
      <c r="N11" s="39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40" t="s">
        <v>85</v>
      </c>
      <c r="C12" s="63">
        <f>1-C11</f>
        <v>0.0192</v>
      </c>
      <c r="D12" s="1"/>
      <c r="E12" s="1"/>
      <c r="F12" s="47">
        <v>8.0</v>
      </c>
      <c r="G12" s="65">
        <v>5.0E-4</v>
      </c>
      <c r="H12" s="66"/>
      <c r="I12" s="6"/>
      <c r="J12" s="1"/>
      <c r="K12" s="31">
        <v>45782.0</v>
      </c>
      <c r="L12" s="46">
        <v>9.31</v>
      </c>
      <c r="M12" s="38">
        <f t="shared" si="1"/>
        <v>-0.001072961373</v>
      </c>
      <c r="N12" s="39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40" t="s">
        <v>90</v>
      </c>
      <c r="C13" s="32">
        <f>'Five Cs'!K19/'Five Cs'!E46</f>
        <v>0.1871995952</v>
      </c>
      <c r="D13" s="1"/>
      <c r="E13" s="1"/>
      <c r="F13" s="47">
        <v>9.0</v>
      </c>
      <c r="G13" s="65">
        <v>1.0E-4</v>
      </c>
      <c r="H13" s="66"/>
      <c r="I13" s="6"/>
      <c r="J13" s="1"/>
      <c r="K13" s="31">
        <v>45693.0</v>
      </c>
      <c r="L13" s="46">
        <v>9.32</v>
      </c>
      <c r="M13" s="38">
        <f t="shared" si="1"/>
        <v>0.02643171806</v>
      </c>
      <c r="N13" s="39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54" t="s">
        <v>93</v>
      </c>
      <c r="C14" s="73">
        <f>C12*C13</f>
        <v>0.003594232229</v>
      </c>
      <c r="D14" s="1"/>
      <c r="E14" s="1"/>
      <c r="F14" s="74">
        <v>10.0</v>
      </c>
      <c r="G14" s="75">
        <v>5.0E-5</v>
      </c>
      <c r="H14" s="76"/>
      <c r="I14" s="6"/>
      <c r="J14" s="1"/>
      <c r="K14" s="31">
        <v>45662.0</v>
      </c>
      <c r="L14" s="46">
        <v>9.08</v>
      </c>
      <c r="M14" s="38">
        <f t="shared" si="1"/>
        <v>-0.01304347826</v>
      </c>
      <c r="N14" s="39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77"/>
      <c r="D15" s="1"/>
      <c r="E15" s="1"/>
      <c r="F15" s="1"/>
      <c r="G15" s="1"/>
      <c r="H15" s="1"/>
      <c r="I15" s="6"/>
      <c r="J15" s="1"/>
      <c r="K15" s="31" t="s">
        <v>100</v>
      </c>
      <c r="L15" s="46">
        <v>9.2</v>
      </c>
      <c r="M15" s="38">
        <f t="shared" si="1"/>
        <v>-0.0139335477</v>
      </c>
      <c r="N15" s="39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6"/>
      <c r="J16" s="1"/>
      <c r="K16" s="31" t="s">
        <v>103</v>
      </c>
      <c r="L16" s="46">
        <v>9.33</v>
      </c>
      <c r="M16" s="38">
        <f t="shared" si="1"/>
        <v>-0.03115264798</v>
      </c>
      <c r="N16" s="3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6"/>
      <c r="J17" s="1"/>
      <c r="K17" s="31" t="s">
        <v>106</v>
      </c>
      <c r="L17" s="46">
        <v>9.63</v>
      </c>
      <c r="M17" s="38">
        <f t="shared" si="1"/>
        <v>0.009433962264</v>
      </c>
      <c r="N17" s="39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6"/>
      <c r="J18" s="1"/>
      <c r="K18" s="31" t="s">
        <v>108</v>
      </c>
      <c r="L18" s="46">
        <v>9.54</v>
      </c>
      <c r="M18" s="38">
        <f t="shared" si="1"/>
        <v>-0.01242236025</v>
      </c>
      <c r="N18" s="39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6"/>
      <c r="J19" s="1"/>
      <c r="K19" s="31" t="s">
        <v>110</v>
      </c>
      <c r="L19" s="46">
        <v>9.66</v>
      </c>
      <c r="M19" s="38">
        <f t="shared" si="1"/>
        <v>0.01470588235</v>
      </c>
      <c r="N19" s="39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82"/>
      <c r="D20" s="82"/>
      <c r="E20" s="82"/>
      <c r="F20" s="1"/>
      <c r="G20" s="1"/>
      <c r="H20" s="1"/>
      <c r="I20" s="6"/>
      <c r="J20" s="1"/>
      <c r="K20" s="31" t="s">
        <v>112</v>
      </c>
      <c r="L20" s="46">
        <v>9.52</v>
      </c>
      <c r="M20" s="38">
        <f t="shared" si="1"/>
        <v>-0.004184100418</v>
      </c>
      <c r="N20" s="39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4" t="s">
        <v>114</v>
      </c>
      <c r="C21" s="85"/>
      <c r="D21" s="85"/>
      <c r="E21" s="27"/>
      <c r="F21" s="1"/>
      <c r="G21" s="1"/>
      <c r="H21" s="1"/>
      <c r="I21" s="6"/>
      <c r="J21" s="1"/>
      <c r="K21" s="31" t="s">
        <v>117</v>
      </c>
      <c r="L21" s="46">
        <v>9.56</v>
      </c>
      <c r="M21" s="38">
        <f t="shared" si="1"/>
        <v>0.0268528464</v>
      </c>
      <c r="N21" s="3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2"/>
      <c r="C22" s="12" t="s">
        <v>14</v>
      </c>
      <c r="D22" s="12" t="s">
        <v>16</v>
      </c>
      <c r="E22" s="12" t="s">
        <v>17</v>
      </c>
      <c r="F22" s="1"/>
      <c r="G22" s="1"/>
      <c r="H22" s="1"/>
      <c r="I22" s="6"/>
      <c r="J22" s="1"/>
      <c r="K22" s="31" t="s">
        <v>119</v>
      </c>
      <c r="L22" s="46">
        <v>9.31</v>
      </c>
      <c r="M22" s="38">
        <f t="shared" si="1"/>
        <v>-0.00851970181</v>
      </c>
      <c r="N22" s="39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2" t="s">
        <v>121</v>
      </c>
      <c r="C23" s="90">
        <f>$C$6*((1+$C$14)^1)</f>
        <v>26287.06344</v>
      </c>
      <c r="D23" s="90">
        <f>$C$6*((1+$C$14)^2)</f>
        <v>26381.54525</v>
      </c>
      <c r="E23" s="90">
        <f>$C$6*((1+$C$14)^3)</f>
        <v>26476.36665</v>
      </c>
      <c r="F23" s="1"/>
      <c r="G23" s="82"/>
      <c r="H23" s="1"/>
      <c r="I23" s="6"/>
      <c r="J23" s="1"/>
      <c r="K23" s="31" t="s">
        <v>128</v>
      </c>
      <c r="L23" s="46">
        <v>9.39</v>
      </c>
      <c r="M23" s="38">
        <f t="shared" si="1"/>
        <v>0.01513513514</v>
      </c>
      <c r="N23" s="39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2" t="s">
        <v>129</v>
      </c>
      <c r="C24" s="97">
        <f t="shared" ref="C24:E24" si="2">$C$8</f>
        <v>0.119759182</v>
      </c>
      <c r="D24" s="97">
        <f t="shared" si="2"/>
        <v>0.119759182</v>
      </c>
      <c r="E24" s="97">
        <f t="shared" si="2"/>
        <v>0.119759182</v>
      </c>
      <c r="F24" s="1"/>
      <c r="G24" s="82"/>
      <c r="H24" s="1"/>
      <c r="I24" s="6"/>
      <c r="J24" s="1"/>
      <c r="K24" s="31" t="s">
        <v>132</v>
      </c>
      <c r="L24" s="46">
        <v>9.25</v>
      </c>
      <c r="M24" s="38">
        <f t="shared" si="1"/>
        <v>-0.01175213675</v>
      </c>
      <c r="N24" s="39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2" t="s">
        <v>133</v>
      </c>
      <c r="C25" s="99">
        <f>($C$9+(0.5*$C$10))*((1+$C$14)^1)</f>
        <v>7589.681381</v>
      </c>
      <c r="D25" s="99">
        <f>($C$9+(0.5*$C$10))*((1+$C$14)^2)</f>
        <v>7616.960459</v>
      </c>
      <c r="E25" s="99">
        <f>($C$9+(0.5*$C$10))*((1+$C$14)^3)</f>
        <v>7644.337583</v>
      </c>
      <c r="F25" s="1"/>
      <c r="G25" s="82"/>
      <c r="H25" s="1"/>
      <c r="I25" s="6"/>
      <c r="J25" s="1"/>
      <c r="K25" s="31" t="s">
        <v>144</v>
      </c>
      <c r="L25" s="46">
        <v>9.36</v>
      </c>
      <c r="M25" s="38">
        <f t="shared" si="1"/>
        <v>-0.01886792453</v>
      </c>
      <c r="N25" s="39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03" t="s">
        <v>145</v>
      </c>
      <c r="C26" s="105">
        <f t="shared" ref="C26:E26" si="3">(C23-C25)/(C23*C24)</f>
        <v>5.939226777</v>
      </c>
      <c r="D26" s="105">
        <f t="shared" si="3"/>
        <v>5.939226777</v>
      </c>
      <c r="E26" s="105">
        <f t="shared" si="3"/>
        <v>5.939226777</v>
      </c>
      <c r="F26" s="1"/>
      <c r="G26" s="1"/>
      <c r="H26" s="1"/>
      <c r="I26" s="6"/>
      <c r="J26" s="1"/>
      <c r="K26" s="31" t="s">
        <v>146</v>
      </c>
      <c r="L26" s="46">
        <v>9.54</v>
      </c>
      <c r="M26" s="38">
        <f t="shared" si="1"/>
        <v>0.02250803859</v>
      </c>
      <c r="N26" s="39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06" t="s">
        <v>147</v>
      </c>
      <c r="C27" s="109">
        <f t="shared" ref="C27:E27" si="4">$G$10</f>
        <v>0.01</v>
      </c>
      <c r="D27" s="109">
        <f t="shared" si="4"/>
        <v>0.01</v>
      </c>
      <c r="E27" s="109">
        <f t="shared" si="4"/>
        <v>0.01</v>
      </c>
      <c r="F27" s="1"/>
      <c r="G27" s="1"/>
      <c r="H27" s="1"/>
      <c r="I27" s="6"/>
      <c r="J27" s="1"/>
      <c r="K27" s="31">
        <v>45965.0</v>
      </c>
      <c r="L27" s="46">
        <v>9.33</v>
      </c>
      <c r="M27" s="38">
        <f t="shared" si="1"/>
        <v>0.03436807095</v>
      </c>
      <c r="N27" s="39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11"/>
      <c r="D28" s="111"/>
      <c r="E28" s="111"/>
      <c r="F28" s="1"/>
      <c r="G28" s="1"/>
      <c r="H28" s="1"/>
      <c r="I28" s="6"/>
      <c r="J28" s="1"/>
      <c r="K28" s="31">
        <v>45934.0</v>
      </c>
      <c r="L28" s="46">
        <v>9.02</v>
      </c>
      <c r="M28" s="38">
        <f t="shared" si="1"/>
        <v>0</v>
      </c>
      <c r="N28" s="39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6"/>
      <c r="J29" s="1"/>
      <c r="K29" s="31">
        <v>45904.0</v>
      </c>
      <c r="L29" s="46">
        <v>9.02</v>
      </c>
      <c r="M29" s="38">
        <f t="shared" si="1"/>
        <v>0.05250875146</v>
      </c>
      <c r="N29" s="39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6"/>
      <c r="J30" s="1"/>
      <c r="K30" s="31">
        <v>45873.0</v>
      </c>
      <c r="L30" s="46">
        <v>8.57</v>
      </c>
      <c r="M30" s="38">
        <f t="shared" si="1"/>
        <v>-0.03923766816</v>
      </c>
      <c r="N30" s="39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6"/>
      <c r="J31" s="1"/>
      <c r="K31" s="31">
        <v>45842.0</v>
      </c>
      <c r="L31" s="46">
        <v>8.92</v>
      </c>
      <c r="M31" s="38">
        <f t="shared" si="1"/>
        <v>-0.03253796095</v>
      </c>
      <c r="N31" s="39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6"/>
      <c r="J32" s="1"/>
      <c r="K32" s="31">
        <v>45751.0</v>
      </c>
      <c r="L32" s="46">
        <v>9.22</v>
      </c>
      <c r="M32" s="38">
        <f t="shared" si="1"/>
        <v>-0.03657262278</v>
      </c>
      <c r="N32" s="39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6"/>
      <c r="J33" s="1"/>
      <c r="K33" s="31">
        <v>45720.0</v>
      </c>
      <c r="L33" s="46">
        <v>9.57</v>
      </c>
      <c r="M33" s="38">
        <f t="shared" si="1"/>
        <v>-0.02346938776</v>
      </c>
      <c r="N33" s="39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6"/>
      <c r="J34" s="1"/>
      <c r="K34" s="31">
        <v>45692.0</v>
      </c>
      <c r="L34" s="46">
        <v>9.8</v>
      </c>
      <c r="M34" s="38">
        <f t="shared" si="1"/>
        <v>-0.001019367992</v>
      </c>
      <c r="N34" s="39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6"/>
      <c r="J35" s="1"/>
      <c r="K35" s="31">
        <v>45661.0</v>
      </c>
      <c r="L35" s="46">
        <v>9.81</v>
      </c>
      <c r="M35" s="38">
        <f t="shared" si="1"/>
        <v>0.01134020619</v>
      </c>
      <c r="N35" s="39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6"/>
      <c r="J36" s="1"/>
      <c r="K36" s="31" t="s">
        <v>153</v>
      </c>
      <c r="L36" s="46">
        <v>9.7</v>
      </c>
      <c r="M36" s="38">
        <f t="shared" si="1"/>
        <v>0.00622406639</v>
      </c>
      <c r="N36" s="39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6"/>
      <c r="J37" s="1"/>
      <c r="K37" s="31" t="s">
        <v>154</v>
      </c>
      <c r="L37" s="46">
        <v>9.64</v>
      </c>
      <c r="M37" s="38">
        <f t="shared" si="1"/>
        <v>-0.007209062822</v>
      </c>
      <c r="N37" s="39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6"/>
      <c r="J38" s="1"/>
      <c r="K38" s="31" t="s">
        <v>155</v>
      </c>
      <c r="L38" s="46">
        <v>9.71</v>
      </c>
      <c r="M38" s="38">
        <f t="shared" si="1"/>
        <v>0.01145833333</v>
      </c>
      <c r="N38" s="39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6"/>
      <c r="J39" s="1"/>
      <c r="K39" s="31" t="s">
        <v>156</v>
      </c>
      <c r="L39" s="46">
        <v>9.6</v>
      </c>
      <c r="M39" s="38">
        <f t="shared" si="1"/>
        <v>0.01694915254</v>
      </c>
      <c r="N39" s="39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6"/>
      <c r="J40" s="1"/>
      <c r="K40" s="31" t="s">
        <v>157</v>
      </c>
      <c r="L40" s="46">
        <v>9.44</v>
      </c>
      <c r="M40" s="38">
        <f t="shared" si="1"/>
        <v>-0.01151832461</v>
      </c>
      <c r="N40" s="39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6"/>
      <c r="J41" s="1"/>
      <c r="K41" s="31" t="s">
        <v>158</v>
      </c>
      <c r="L41" s="46">
        <v>9.55</v>
      </c>
      <c r="M41" s="38">
        <f t="shared" si="1"/>
        <v>0.01165254237</v>
      </c>
      <c r="N41" s="39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6"/>
      <c r="J42" s="1"/>
      <c r="K42" s="31" t="s">
        <v>159</v>
      </c>
      <c r="L42" s="46">
        <v>9.44</v>
      </c>
      <c r="M42" s="38">
        <f t="shared" si="1"/>
        <v>-0.02880658436</v>
      </c>
      <c r="N42" s="39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6"/>
      <c r="J43" s="1"/>
      <c r="K43" s="31" t="s">
        <v>160</v>
      </c>
      <c r="L43" s="46">
        <v>9.72</v>
      </c>
      <c r="M43" s="38">
        <f t="shared" si="1"/>
        <v>-0.01219512195</v>
      </c>
      <c r="N43" s="39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6"/>
      <c r="J44" s="1"/>
      <c r="K44" s="31" t="s">
        <v>161</v>
      </c>
      <c r="L44" s="46">
        <v>9.84</v>
      </c>
      <c r="M44" s="38">
        <f t="shared" si="1"/>
        <v>-0.008064516129</v>
      </c>
      <c r="N44" s="39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6"/>
      <c r="J45" s="1"/>
      <c r="K45" s="31" t="s">
        <v>162</v>
      </c>
      <c r="L45" s="46">
        <v>9.92</v>
      </c>
      <c r="M45" s="38">
        <f t="shared" si="1"/>
        <v>0.008130081301</v>
      </c>
      <c r="N45" s="39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6"/>
      <c r="J46" s="1"/>
      <c r="K46" s="31" t="s">
        <v>163</v>
      </c>
      <c r="L46" s="46">
        <v>9.84</v>
      </c>
      <c r="M46" s="38">
        <f t="shared" si="1"/>
        <v>0.006134969325</v>
      </c>
      <c r="N46" s="39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6"/>
      <c r="J47" s="1"/>
      <c r="K47" s="31" t="s">
        <v>164</v>
      </c>
      <c r="L47" s="46">
        <v>9.78</v>
      </c>
      <c r="M47" s="38">
        <f t="shared" si="1"/>
        <v>0.01557632399</v>
      </c>
      <c r="N47" s="3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6"/>
      <c r="J48" s="1"/>
      <c r="K48" s="31" t="s">
        <v>165</v>
      </c>
      <c r="L48" s="46">
        <v>9.63</v>
      </c>
      <c r="M48" s="38">
        <f t="shared" si="1"/>
        <v>-0.03021148036</v>
      </c>
      <c r="N48" s="39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6"/>
      <c r="J49" s="1"/>
      <c r="K49" s="31">
        <v>45994.0</v>
      </c>
      <c r="L49" s="46">
        <v>9.93</v>
      </c>
      <c r="M49" s="38">
        <f t="shared" si="1"/>
        <v>-0.007</v>
      </c>
      <c r="N49" s="39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6"/>
      <c r="J50" s="1"/>
      <c r="K50" s="31">
        <v>45964.0</v>
      </c>
      <c r="L50" s="46">
        <v>10.0</v>
      </c>
      <c r="M50" s="38">
        <f t="shared" si="1"/>
        <v>-0.0253411306</v>
      </c>
      <c r="N50" s="39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6"/>
      <c r="J51" s="1"/>
      <c r="K51" s="31">
        <v>45933.0</v>
      </c>
      <c r="L51" s="46">
        <v>10.26</v>
      </c>
      <c r="M51" s="38">
        <f t="shared" si="1"/>
        <v>-0.002915451895</v>
      </c>
      <c r="N51" s="39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6"/>
      <c r="J52" s="1"/>
      <c r="K52" s="31">
        <v>45841.0</v>
      </c>
      <c r="L52" s="46">
        <v>10.29</v>
      </c>
      <c r="M52" s="38">
        <f t="shared" si="1"/>
        <v>0.0178041543</v>
      </c>
      <c r="N52" s="39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6"/>
      <c r="J53" s="1"/>
      <c r="K53" s="31">
        <v>45811.0</v>
      </c>
      <c r="L53" s="46">
        <v>10.11</v>
      </c>
      <c r="M53" s="38">
        <f t="shared" si="1"/>
        <v>0.003972194638</v>
      </c>
      <c r="N53" s="39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6"/>
      <c r="J54" s="1"/>
      <c r="K54" s="31">
        <v>45780.0</v>
      </c>
      <c r="L54" s="46">
        <v>10.07</v>
      </c>
      <c r="M54" s="38">
        <f t="shared" si="1"/>
        <v>0.01104417671</v>
      </c>
      <c r="N54" s="39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6"/>
      <c r="J55" s="1"/>
      <c r="K55" s="31">
        <v>45750.0</v>
      </c>
      <c r="L55" s="46">
        <v>9.96</v>
      </c>
      <c r="M55" s="38">
        <f t="shared" si="1"/>
        <v>-0.01678183613</v>
      </c>
      <c r="N55" s="39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6"/>
      <c r="J56" s="1"/>
      <c r="K56" s="31">
        <v>45719.0</v>
      </c>
      <c r="L56" s="46">
        <v>10.13</v>
      </c>
      <c r="M56" s="38">
        <f t="shared" si="1"/>
        <v>0.0009881422925</v>
      </c>
      <c r="N56" s="39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6"/>
      <c r="J57" s="1"/>
      <c r="K57" s="31" t="s">
        <v>166</v>
      </c>
      <c r="L57" s="46">
        <v>10.12</v>
      </c>
      <c r="M57" s="38">
        <f t="shared" si="1"/>
        <v>0.005964214712</v>
      </c>
      <c r="N57" s="39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6"/>
      <c r="J58" s="1"/>
      <c r="K58" s="31" t="s">
        <v>167</v>
      </c>
      <c r="L58" s="46">
        <v>10.06</v>
      </c>
      <c r="M58" s="38">
        <f t="shared" si="1"/>
        <v>-0.002973240833</v>
      </c>
      <c r="N58" s="39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6"/>
      <c r="J59" s="1"/>
      <c r="K59" s="31" t="s">
        <v>168</v>
      </c>
      <c r="L59" s="46">
        <v>10.09</v>
      </c>
      <c r="M59" s="38">
        <f t="shared" si="1"/>
        <v>-0.02228682171</v>
      </c>
      <c r="N59" s="39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6"/>
      <c r="J60" s="1"/>
      <c r="K60" s="31" t="s">
        <v>169</v>
      </c>
      <c r="L60" s="46">
        <v>10.32</v>
      </c>
      <c r="M60" s="38">
        <f t="shared" si="1"/>
        <v>0.005847953216</v>
      </c>
      <c r="N60" s="39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6"/>
      <c r="J61" s="1"/>
      <c r="K61" s="31" t="s">
        <v>170</v>
      </c>
      <c r="L61" s="46">
        <v>10.26</v>
      </c>
      <c r="M61" s="38">
        <f t="shared" si="1"/>
        <v>0.0009756097561</v>
      </c>
      <c r="N61" s="39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6"/>
      <c r="J62" s="1"/>
      <c r="K62" s="31" t="s">
        <v>171</v>
      </c>
      <c r="L62" s="46">
        <v>10.25</v>
      </c>
      <c r="M62" s="38">
        <f t="shared" si="1"/>
        <v>-0.01347449471</v>
      </c>
      <c r="N62" s="39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6"/>
      <c r="J63" s="1"/>
      <c r="K63" s="31" t="s">
        <v>172</v>
      </c>
      <c r="L63" s="46">
        <v>10.39</v>
      </c>
      <c r="M63" s="38">
        <f t="shared" si="1"/>
        <v>0.01862745098</v>
      </c>
      <c r="N63" s="39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6"/>
      <c r="J64" s="1"/>
      <c r="K64" s="31" t="s">
        <v>173</v>
      </c>
      <c r="L64" s="46">
        <v>10.2</v>
      </c>
      <c r="M64" s="38">
        <f t="shared" si="1"/>
        <v>0.002949852507</v>
      </c>
      <c r="N64" s="39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6"/>
      <c r="J65" s="1"/>
      <c r="K65" s="31" t="s">
        <v>174</v>
      </c>
      <c r="L65" s="46">
        <v>10.17</v>
      </c>
      <c r="M65" s="38">
        <f t="shared" si="1"/>
        <v>0.009930486594</v>
      </c>
      <c r="N65" s="39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6"/>
      <c r="J66" s="1"/>
      <c r="K66" s="31" t="s">
        <v>175</v>
      </c>
      <c r="L66" s="46">
        <v>10.07</v>
      </c>
      <c r="M66" s="38">
        <f t="shared" si="1"/>
        <v>-0.00297029703</v>
      </c>
      <c r="N66" s="39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6"/>
      <c r="J67" s="1"/>
      <c r="K67" s="31" t="s">
        <v>176</v>
      </c>
      <c r="L67" s="46">
        <v>10.1</v>
      </c>
      <c r="M67" s="38">
        <f t="shared" si="1"/>
        <v>0.01101101101</v>
      </c>
      <c r="N67" s="39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6"/>
      <c r="J68" s="1"/>
      <c r="K68" s="31">
        <v>45993.0</v>
      </c>
      <c r="L68" s="46">
        <v>9.99</v>
      </c>
      <c r="M68" s="38">
        <f t="shared" si="1"/>
        <v>-0.003988035892</v>
      </c>
      <c r="N68" s="39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6"/>
      <c r="J69" s="1"/>
      <c r="K69" s="31">
        <v>45963.0</v>
      </c>
      <c r="L69" s="46">
        <v>10.03</v>
      </c>
      <c r="M69" s="38">
        <f t="shared" si="1"/>
        <v>-0.0009960159363</v>
      </c>
      <c r="N69" s="39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6"/>
      <c r="J70" s="1"/>
      <c r="K70" s="31">
        <v>45932.0</v>
      </c>
      <c r="L70" s="46">
        <v>10.04</v>
      </c>
      <c r="M70" s="38">
        <f t="shared" si="1"/>
        <v>0.001996007984</v>
      </c>
      <c r="N70" s="39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6"/>
      <c r="J71" s="1"/>
      <c r="K71" s="31">
        <v>45840.0</v>
      </c>
      <c r="L71" s="46">
        <v>10.02</v>
      </c>
      <c r="M71" s="38">
        <f t="shared" si="1"/>
        <v>-0.0009970089731</v>
      </c>
      <c r="N71" s="39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6"/>
      <c r="J72" s="1"/>
      <c r="K72" s="31">
        <v>45810.0</v>
      </c>
      <c r="L72" s="46">
        <v>10.03</v>
      </c>
      <c r="M72" s="38">
        <f t="shared" si="1"/>
        <v>-0.01859099804</v>
      </c>
      <c r="N72" s="39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6"/>
      <c r="J73" s="1"/>
      <c r="K73" s="31">
        <v>45779.0</v>
      </c>
      <c r="L73" s="46">
        <v>10.22</v>
      </c>
      <c r="M73" s="38">
        <f t="shared" si="1"/>
        <v>0.01691542289</v>
      </c>
      <c r="N73" s="39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6"/>
      <c r="J74" s="1"/>
      <c r="K74" s="31">
        <v>45749.0</v>
      </c>
      <c r="L74" s="46">
        <v>10.05</v>
      </c>
      <c r="M74" s="38">
        <f t="shared" si="1"/>
        <v>0.05125523013</v>
      </c>
      <c r="N74" s="39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6"/>
      <c r="J75" s="1"/>
      <c r="K75" s="31">
        <v>45718.0</v>
      </c>
      <c r="L75" s="46">
        <v>9.56</v>
      </c>
      <c r="M75" s="38">
        <f t="shared" si="1"/>
        <v>-0.01646090535</v>
      </c>
      <c r="N75" s="39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6"/>
      <c r="J76" s="1"/>
      <c r="K76" s="31" t="s">
        <v>177</v>
      </c>
      <c r="L76" s="46">
        <v>9.72</v>
      </c>
      <c r="M76" s="38">
        <f t="shared" si="1"/>
        <v>-0.003076923077</v>
      </c>
      <c r="N76" s="39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6"/>
      <c r="J77" s="1"/>
      <c r="K77" s="31" t="s">
        <v>178</v>
      </c>
      <c r="L77" s="46">
        <v>9.75</v>
      </c>
      <c r="M77" s="38">
        <f t="shared" si="1"/>
        <v>0</v>
      </c>
      <c r="N77" s="39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6"/>
      <c r="J78" s="1"/>
      <c r="K78" s="31" t="s">
        <v>179</v>
      </c>
      <c r="L78" s="46">
        <v>9.75</v>
      </c>
      <c r="M78" s="38">
        <f t="shared" si="1"/>
        <v>-0.006116207951</v>
      </c>
      <c r="N78" s="39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6"/>
      <c r="J79" s="1"/>
      <c r="K79" s="31" t="s">
        <v>180</v>
      </c>
      <c r="L79" s="46">
        <v>9.81</v>
      </c>
      <c r="M79" s="38">
        <f t="shared" si="1"/>
        <v>-0.008088978766</v>
      </c>
      <c r="N79" s="39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6"/>
      <c r="J80" s="1"/>
      <c r="K80" s="31" t="s">
        <v>181</v>
      </c>
      <c r="L80" s="46">
        <v>9.89</v>
      </c>
      <c r="M80" s="38">
        <f t="shared" si="1"/>
        <v>0.01331967213</v>
      </c>
      <c r="N80" s="39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6"/>
      <c r="J81" s="1"/>
      <c r="K81" s="31" t="s">
        <v>182</v>
      </c>
      <c r="L81" s="46">
        <v>9.76</v>
      </c>
      <c r="M81" s="38">
        <f t="shared" si="1"/>
        <v>-0.001023541453</v>
      </c>
      <c r="N81" s="39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6"/>
      <c r="J82" s="1"/>
      <c r="K82" s="31" t="s">
        <v>183</v>
      </c>
      <c r="L82" s="46">
        <v>9.77</v>
      </c>
      <c r="M82" s="38">
        <f t="shared" si="1"/>
        <v>0.005144032922</v>
      </c>
      <c r="N82" s="39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6"/>
      <c r="J83" s="1"/>
      <c r="K83" s="31" t="s">
        <v>184</v>
      </c>
      <c r="L83" s="46">
        <v>9.72</v>
      </c>
      <c r="M83" s="38">
        <f t="shared" si="1"/>
        <v>-0.007150153218</v>
      </c>
      <c r="N83" s="39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6"/>
      <c r="J84" s="1"/>
      <c r="K84" s="31" t="s">
        <v>185</v>
      </c>
      <c r="L84" s="46">
        <v>9.79</v>
      </c>
      <c r="M84" s="38">
        <f t="shared" si="1"/>
        <v>0.009278350515</v>
      </c>
      <c r="N84" s="39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6"/>
      <c r="J85" s="1"/>
      <c r="K85" s="31" t="s">
        <v>186</v>
      </c>
      <c r="L85" s="46">
        <v>9.7</v>
      </c>
      <c r="M85" s="38">
        <f t="shared" si="1"/>
        <v>0</v>
      </c>
      <c r="N85" s="39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6"/>
      <c r="J86" s="1"/>
      <c r="K86" s="31" t="s">
        <v>187</v>
      </c>
      <c r="L86" s="46">
        <v>9.7</v>
      </c>
      <c r="M86" s="38">
        <f t="shared" si="1"/>
        <v>0.009365244537</v>
      </c>
      <c r="N86" s="39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6"/>
      <c r="J87" s="1"/>
      <c r="K87" s="31" t="s">
        <v>188</v>
      </c>
      <c r="L87" s="46">
        <v>9.61</v>
      </c>
      <c r="M87" s="38">
        <f t="shared" si="1"/>
        <v>0.009453781513</v>
      </c>
      <c r="N87" s="39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6"/>
      <c r="J88" s="1"/>
      <c r="K88" s="31" t="s">
        <v>189</v>
      </c>
      <c r="L88" s="46">
        <v>9.52</v>
      </c>
      <c r="M88" s="38">
        <f t="shared" si="1"/>
        <v>0</v>
      </c>
      <c r="N88" s="39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6"/>
      <c r="J89" s="1"/>
      <c r="K89" s="31" t="s">
        <v>190</v>
      </c>
      <c r="L89" s="46">
        <v>9.52</v>
      </c>
      <c r="M89" s="38">
        <f t="shared" si="1"/>
        <v>0.01168969182</v>
      </c>
      <c r="N89" s="39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6"/>
      <c r="J90" s="1"/>
      <c r="K90" s="31">
        <v>45931.0</v>
      </c>
      <c r="L90" s="46">
        <v>9.41</v>
      </c>
      <c r="M90" s="38">
        <f t="shared" si="1"/>
        <v>-0.01465968586</v>
      </c>
      <c r="N90" s="39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6"/>
      <c r="J91" s="1"/>
      <c r="K91" s="31">
        <v>45870.0</v>
      </c>
      <c r="L91" s="46">
        <v>9.55</v>
      </c>
      <c r="M91" s="38">
        <f t="shared" si="1"/>
        <v>0.005263157895</v>
      </c>
      <c r="N91" s="39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6"/>
      <c r="J92" s="1"/>
      <c r="K92" s="31">
        <v>45839.0</v>
      </c>
      <c r="L92" s="46">
        <v>9.5</v>
      </c>
      <c r="M92" s="38">
        <f t="shared" si="1"/>
        <v>0.007423117709</v>
      </c>
      <c r="N92" s="39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6"/>
      <c r="J93" s="1"/>
      <c r="K93" s="31">
        <v>45809.0</v>
      </c>
      <c r="L93" s="46">
        <v>9.43</v>
      </c>
      <c r="M93" s="38">
        <f t="shared" si="1"/>
        <v>0.01071811361</v>
      </c>
      <c r="N93" s="39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6"/>
      <c r="J94" s="1"/>
      <c r="K94" s="31">
        <v>45717.0</v>
      </c>
      <c r="L94" s="46">
        <v>9.33</v>
      </c>
      <c r="M94" s="38">
        <f t="shared" si="1"/>
        <v>-0.002139037433</v>
      </c>
      <c r="N94" s="39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6"/>
      <c r="J95" s="1"/>
      <c r="K95" s="31">
        <v>45689.0</v>
      </c>
      <c r="L95" s="46">
        <v>9.35</v>
      </c>
      <c r="M95" s="38">
        <f t="shared" si="1"/>
        <v>-0.006376195537</v>
      </c>
      <c r="N95" s="39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6"/>
      <c r="J96" s="1"/>
      <c r="K96" s="31" t="s">
        <v>191</v>
      </c>
      <c r="L96" s="46">
        <v>9.41</v>
      </c>
      <c r="M96" s="38">
        <f t="shared" si="1"/>
        <v>0.007494646681</v>
      </c>
      <c r="N96" s="39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6"/>
      <c r="J97" s="1"/>
      <c r="K97" s="31" t="s">
        <v>192</v>
      </c>
      <c r="L97" s="46">
        <v>9.34</v>
      </c>
      <c r="M97" s="38">
        <f t="shared" si="1"/>
        <v>-0.01059322034</v>
      </c>
      <c r="N97" s="39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6"/>
      <c r="J98" s="1"/>
      <c r="K98" s="31" t="s">
        <v>193</v>
      </c>
      <c r="L98" s="46">
        <v>9.44</v>
      </c>
      <c r="M98" s="38">
        <f t="shared" si="1"/>
        <v>-0.002114164905</v>
      </c>
      <c r="N98" s="39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6"/>
      <c r="J99" s="1"/>
      <c r="K99" s="31" t="s">
        <v>194</v>
      </c>
      <c r="L99" s="46">
        <v>9.46</v>
      </c>
      <c r="M99" s="38">
        <f t="shared" si="1"/>
        <v>-0.003161222339</v>
      </c>
      <c r="N99" s="39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6"/>
      <c r="J100" s="1"/>
      <c r="K100" s="31" t="s">
        <v>195</v>
      </c>
      <c r="L100" s="46">
        <v>9.49</v>
      </c>
      <c r="M100" s="38">
        <f t="shared" si="1"/>
        <v>0.006362672322</v>
      </c>
      <c r="N100" s="39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6"/>
      <c r="J101" s="1"/>
      <c r="K101" s="31" t="s">
        <v>196</v>
      </c>
      <c r="L101" s="46">
        <v>9.43</v>
      </c>
      <c r="M101" s="38">
        <f t="shared" si="1"/>
        <v>0.003191489362</v>
      </c>
      <c r="N101" s="39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6"/>
      <c r="J102" s="1"/>
      <c r="K102" s="31" t="s">
        <v>197</v>
      </c>
      <c r="L102" s="46">
        <v>9.4</v>
      </c>
      <c r="M102" s="38">
        <f t="shared" si="1"/>
        <v>0</v>
      </c>
      <c r="N102" s="39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6"/>
      <c r="J103" s="1"/>
      <c r="K103" s="31" t="s">
        <v>198</v>
      </c>
      <c r="L103" s="46">
        <v>9.4</v>
      </c>
      <c r="M103" s="38">
        <f t="shared" si="1"/>
        <v>-0.004237288136</v>
      </c>
      <c r="N103" s="39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6"/>
      <c r="J104" s="1"/>
      <c r="K104" s="31" t="s">
        <v>199</v>
      </c>
      <c r="L104" s="46">
        <v>9.44</v>
      </c>
      <c r="M104" s="38">
        <f t="shared" si="1"/>
        <v>-0.02980472765</v>
      </c>
      <c r="N104" s="39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6"/>
      <c r="J105" s="1"/>
      <c r="K105" s="31" t="s">
        <v>200</v>
      </c>
      <c r="L105" s="46">
        <v>9.73</v>
      </c>
      <c r="M105" s="38">
        <f t="shared" si="1"/>
        <v>-0.01117886179</v>
      </c>
      <c r="N105" s="39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6"/>
      <c r="J106" s="1"/>
      <c r="K106" s="31" t="s">
        <v>201</v>
      </c>
      <c r="L106" s="46">
        <v>9.84</v>
      </c>
      <c r="M106" s="38">
        <f t="shared" si="1"/>
        <v>-0.006060606061</v>
      </c>
      <c r="N106" s="39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6"/>
      <c r="J107" s="1"/>
      <c r="K107" s="31" t="s">
        <v>202</v>
      </c>
      <c r="L107" s="46">
        <v>9.9</v>
      </c>
      <c r="M107" s="38">
        <f t="shared" si="1"/>
        <v>-0.009009009009</v>
      </c>
      <c r="N107" s="39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6"/>
      <c r="J108" s="1"/>
      <c r="K108" s="31">
        <v>45638.0</v>
      </c>
      <c r="L108" s="46">
        <v>9.99</v>
      </c>
      <c r="M108" s="38">
        <f t="shared" si="1"/>
        <v>-0.002994011976</v>
      </c>
      <c r="N108" s="39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6"/>
      <c r="J109" s="1"/>
      <c r="K109" s="31">
        <v>45608.0</v>
      </c>
      <c r="L109" s="46">
        <v>10.02</v>
      </c>
      <c r="M109" s="38">
        <f t="shared" si="1"/>
        <v>-0.01085883514</v>
      </c>
      <c r="N109" s="39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6"/>
      <c r="J110" s="1"/>
      <c r="K110" s="31">
        <v>45577.0</v>
      </c>
      <c r="L110" s="46">
        <v>10.13</v>
      </c>
      <c r="M110" s="38">
        <f t="shared" si="1"/>
        <v>-0.006862745098</v>
      </c>
      <c r="N110" s="39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6"/>
      <c r="J111" s="1"/>
      <c r="K111" s="31">
        <v>45547.0</v>
      </c>
      <c r="L111" s="46">
        <v>10.2</v>
      </c>
      <c r="M111" s="38">
        <f t="shared" si="1"/>
        <v>0.001964636542</v>
      </c>
      <c r="N111" s="39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6"/>
      <c r="J112" s="1"/>
      <c r="K112" s="31">
        <v>45455.0</v>
      </c>
      <c r="L112" s="46">
        <v>10.18</v>
      </c>
      <c r="M112" s="38">
        <f t="shared" si="1"/>
        <v>-0.005859375</v>
      </c>
      <c r="N112" s="39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6"/>
      <c r="J113" s="1"/>
      <c r="K113" s="31">
        <v>45424.0</v>
      </c>
      <c r="L113" s="46">
        <v>10.24</v>
      </c>
      <c r="M113" s="38">
        <f t="shared" si="1"/>
        <v>-0.02196752627</v>
      </c>
      <c r="N113" s="39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6"/>
      <c r="J114" s="1"/>
      <c r="K114" s="31">
        <v>45394.0</v>
      </c>
      <c r="L114" s="46">
        <v>10.47</v>
      </c>
      <c r="M114" s="38">
        <f t="shared" si="1"/>
        <v>-0.008522727273</v>
      </c>
      <c r="N114" s="39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6"/>
      <c r="J115" s="1"/>
      <c r="K115" s="31">
        <v>45363.0</v>
      </c>
      <c r="L115" s="46">
        <v>10.56</v>
      </c>
      <c r="M115" s="38">
        <f t="shared" si="1"/>
        <v>-0.0009460737938</v>
      </c>
      <c r="N115" s="39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6"/>
      <c r="J116" s="1"/>
      <c r="K116" s="31">
        <v>45334.0</v>
      </c>
      <c r="L116" s="46">
        <v>10.57</v>
      </c>
      <c r="M116" s="38">
        <f t="shared" si="1"/>
        <v>-0.006578947368</v>
      </c>
      <c r="N116" s="39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6"/>
      <c r="J117" s="1"/>
      <c r="K117" s="31" t="s">
        <v>205</v>
      </c>
      <c r="L117" s="46">
        <v>10.64</v>
      </c>
      <c r="M117" s="38">
        <f t="shared" si="1"/>
        <v>0.01333333333</v>
      </c>
      <c r="N117" s="39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6"/>
      <c r="J118" s="1"/>
      <c r="K118" s="31" t="s">
        <v>206</v>
      </c>
      <c r="L118" s="46">
        <v>10.5</v>
      </c>
      <c r="M118" s="38">
        <f t="shared" si="1"/>
        <v>0.01058710298</v>
      </c>
      <c r="N118" s="39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6"/>
      <c r="J119" s="1"/>
      <c r="K119" s="31" t="s">
        <v>208</v>
      </c>
      <c r="L119" s="46">
        <v>10.39</v>
      </c>
      <c r="M119" s="38">
        <f t="shared" si="1"/>
        <v>-0.00858778626</v>
      </c>
      <c r="N119" s="39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6"/>
      <c r="J120" s="1"/>
      <c r="K120" s="31" t="s">
        <v>209</v>
      </c>
      <c r="L120" s="46">
        <v>10.48</v>
      </c>
      <c r="M120" s="38">
        <f t="shared" si="1"/>
        <v>-0.0009532888465</v>
      </c>
      <c r="N120" s="39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6"/>
      <c r="J121" s="1"/>
      <c r="K121" s="31" t="s">
        <v>211</v>
      </c>
      <c r="L121" s="46">
        <v>10.49</v>
      </c>
      <c r="M121" s="38">
        <f t="shared" si="1"/>
        <v>0.001910219675</v>
      </c>
      <c r="N121" s="39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6"/>
      <c r="J122" s="1"/>
      <c r="K122" s="31" t="s">
        <v>213</v>
      </c>
      <c r="L122" s="46">
        <v>10.47</v>
      </c>
      <c r="M122" s="38">
        <f t="shared" si="1"/>
        <v>0.01257253385</v>
      </c>
      <c r="N122" s="39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6"/>
      <c r="J123" s="1"/>
      <c r="K123" s="31" t="s">
        <v>214</v>
      </c>
      <c r="L123" s="46">
        <v>10.34</v>
      </c>
      <c r="M123" s="38">
        <f t="shared" si="1"/>
        <v>0.04550050556</v>
      </c>
      <c r="N123" s="39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6"/>
      <c r="J124" s="1"/>
      <c r="K124" s="31" t="s">
        <v>216</v>
      </c>
      <c r="L124" s="46">
        <v>9.89</v>
      </c>
      <c r="M124" s="38">
        <f t="shared" si="1"/>
        <v>-0.02561576355</v>
      </c>
      <c r="N124" s="39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6"/>
      <c r="J125" s="1"/>
      <c r="K125" s="31" t="s">
        <v>219</v>
      </c>
      <c r="L125" s="46">
        <v>10.15</v>
      </c>
      <c r="M125" s="38">
        <f t="shared" si="1"/>
        <v>-0.006849315068</v>
      </c>
      <c r="N125" s="39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6"/>
      <c r="J126" s="1"/>
      <c r="K126" s="31" t="s">
        <v>221</v>
      </c>
      <c r="L126" s="46">
        <v>10.22</v>
      </c>
      <c r="M126" s="38">
        <f t="shared" si="1"/>
        <v>0.003929273084</v>
      </c>
      <c r="N126" s="39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6"/>
      <c r="J127" s="1"/>
      <c r="K127" s="31" t="s">
        <v>223</v>
      </c>
      <c r="L127" s="46">
        <v>10.18</v>
      </c>
      <c r="M127" s="38">
        <f t="shared" si="1"/>
        <v>0.006923837784</v>
      </c>
      <c r="N127" s="39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6"/>
      <c r="J128" s="1"/>
      <c r="K128" s="31" t="s">
        <v>224</v>
      </c>
      <c r="L128" s="46">
        <v>10.11</v>
      </c>
      <c r="M128" s="38">
        <f t="shared" si="1"/>
        <v>-0.007850834151</v>
      </c>
      <c r="N128" s="39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6"/>
      <c r="J129" s="1"/>
      <c r="K129" s="31">
        <v>45637.0</v>
      </c>
      <c r="L129" s="46">
        <v>10.19</v>
      </c>
      <c r="M129" s="38">
        <f t="shared" si="1"/>
        <v>-0.01163918526</v>
      </c>
      <c r="N129" s="39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6"/>
      <c r="J130" s="1"/>
      <c r="K130" s="31">
        <v>45607.0</v>
      </c>
      <c r="L130" s="46">
        <v>10.31</v>
      </c>
      <c r="M130" s="38">
        <f t="shared" si="1"/>
        <v>0.008806262231</v>
      </c>
      <c r="N130" s="39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6"/>
      <c r="J131" s="1"/>
      <c r="K131" s="31">
        <v>45515.0</v>
      </c>
      <c r="L131" s="46">
        <v>10.22</v>
      </c>
      <c r="M131" s="38">
        <f t="shared" si="1"/>
        <v>0.0009794319295</v>
      </c>
      <c r="N131" s="39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6"/>
      <c r="J132" s="1"/>
      <c r="K132" s="31">
        <v>45484.0</v>
      </c>
      <c r="L132" s="46">
        <v>10.21</v>
      </c>
      <c r="M132" s="38">
        <f t="shared" si="1"/>
        <v>0.0009803921569</v>
      </c>
      <c r="N132" s="39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6"/>
      <c r="J133" s="1"/>
      <c r="K133" s="31">
        <v>45454.0</v>
      </c>
      <c r="L133" s="46">
        <v>10.2</v>
      </c>
      <c r="M133" s="38">
        <f t="shared" si="1"/>
        <v>-0.005847953216</v>
      </c>
      <c r="N133" s="39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6"/>
      <c r="J134" s="1"/>
      <c r="K134" s="31">
        <v>45423.0</v>
      </c>
      <c r="L134" s="46">
        <v>10.26</v>
      </c>
      <c r="M134" s="38">
        <f t="shared" si="1"/>
        <v>0.005882352941</v>
      </c>
      <c r="N134" s="39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6"/>
      <c r="J135" s="1"/>
      <c r="K135" s="31">
        <v>45393.0</v>
      </c>
      <c r="L135" s="46">
        <v>10.2</v>
      </c>
      <c r="M135" s="38">
        <f t="shared" si="1"/>
        <v>-0.005847953216</v>
      </c>
      <c r="N135" s="39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6"/>
      <c r="J136" s="1"/>
      <c r="K136" s="31">
        <v>45302.0</v>
      </c>
      <c r="L136" s="46">
        <v>10.26</v>
      </c>
      <c r="M136" s="38">
        <f t="shared" si="1"/>
        <v>-0.0781671159</v>
      </c>
      <c r="N136" s="39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6"/>
      <c r="J137" s="1"/>
      <c r="K137" s="31" t="s">
        <v>228</v>
      </c>
      <c r="L137" s="46">
        <v>11.13</v>
      </c>
      <c r="M137" s="38">
        <f t="shared" si="1"/>
        <v>0.006329113924</v>
      </c>
      <c r="N137" s="39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6"/>
      <c r="J138" s="1"/>
      <c r="K138" s="31" t="s">
        <v>230</v>
      </c>
      <c r="L138" s="46">
        <v>11.06</v>
      </c>
      <c r="M138" s="38">
        <f t="shared" si="1"/>
        <v>0.01189387008</v>
      </c>
      <c r="N138" s="39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6"/>
      <c r="J139" s="1"/>
      <c r="K139" s="31" t="s">
        <v>231</v>
      </c>
      <c r="L139" s="46">
        <v>10.93</v>
      </c>
      <c r="M139" s="38">
        <f t="shared" si="1"/>
        <v>-0.01353790614</v>
      </c>
      <c r="N139" s="39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6"/>
      <c r="J140" s="1"/>
      <c r="K140" s="31" t="s">
        <v>234</v>
      </c>
      <c r="L140" s="46">
        <v>11.08</v>
      </c>
      <c r="M140" s="38">
        <f t="shared" si="1"/>
        <v>0.007272727273</v>
      </c>
      <c r="N140" s="39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6"/>
      <c r="J141" s="1"/>
      <c r="K141" s="31" t="s">
        <v>235</v>
      </c>
      <c r="L141" s="46">
        <v>11.0</v>
      </c>
      <c r="M141" s="38">
        <f t="shared" si="1"/>
        <v>-0.006323396567</v>
      </c>
      <c r="N141" s="39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6"/>
      <c r="J142" s="1"/>
      <c r="K142" s="31" t="s">
        <v>236</v>
      </c>
      <c r="L142" s="46">
        <v>11.07</v>
      </c>
      <c r="M142" s="38">
        <f t="shared" si="1"/>
        <v>0.002717391304</v>
      </c>
      <c r="N142" s="39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6"/>
      <c r="J143" s="1"/>
      <c r="K143" s="31" t="s">
        <v>237</v>
      </c>
      <c r="L143" s="46">
        <v>11.04</v>
      </c>
      <c r="M143" s="38">
        <f t="shared" si="1"/>
        <v>0.004549590537</v>
      </c>
      <c r="N143" s="39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6"/>
      <c r="J144" s="1"/>
      <c r="K144" s="31" t="s">
        <v>241</v>
      </c>
      <c r="L144" s="46">
        <v>10.99</v>
      </c>
      <c r="M144" s="38">
        <f t="shared" si="1"/>
        <v>-0.01169064748</v>
      </c>
      <c r="N144" s="39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6"/>
      <c r="J145" s="1"/>
      <c r="K145" s="31" t="s">
        <v>243</v>
      </c>
      <c r="L145" s="46">
        <v>11.12</v>
      </c>
      <c r="M145" s="38">
        <f t="shared" si="1"/>
        <v>-0.01067615658</v>
      </c>
      <c r="N145" s="39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6"/>
      <c r="J146" s="1"/>
      <c r="K146" s="31" t="s">
        <v>245</v>
      </c>
      <c r="L146" s="46">
        <v>11.24</v>
      </c>
      <c r="M146" s="38">
        <f t="shared" si="1"/>
        <v>-0.0008888888889</v>
      </c>
      <c r="N146" s="39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6"/>
      <c r="J147" s="1"/>
      <c r="K147" s="31" t="s">
        <v>249</v>
      </c>
      <c r="L147" s="46">
        <v>11.25</v>
      </c>
      <c r="M147" s="38">
        <f t="shared" si="1"/>
        <v>-0.004424778761</v>
      </c>
      <c r="N147" s="39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6"/>
      <c r="J148" s="1"/>
      <c r="K148" s="31" t="s">
        <v>252</v>
      </c>
      <c r="L148" s="46">
        <v>11.3</v>
      </c>
      <c r="M148" s="38">
        <f t="shared" si="1"/>
        <v>-0.006156552331</v>
      </c>
      <c r="N148" s="39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6"/>
      <c r="J149" s="1"/>
      <c r="K149" s="31" t="s">
        <v>254</v>
      </c>
      <c r="L149" s="46">
        <v>11.37</v>
      </c>
      <c r="M149" s="38">
        <f t="shared" si="1"/>
        <v>0.002645502646</v>
      </c>
      <c r="N149" s="39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6"/>
      <c r="J150" s="1"/>
      <c r="K150" s="31" t="s">
        <v>257</v>
      </c>
      <c r="L150" s="46">
        <v>11.34</v>
      </c>
      <c r="M150" s="38">
        <f t="shared" si="1"/>
        <v>0.01340482574</v>
      </c>
      <c r="N150" s="39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6"/>
      <c r="J151" s="1"/>
      <c r="K151" s="31">
        <v>45606.0</v>
      </c>
      <c r="L151" s="46">
        <v>11.19</v>
      </c>
      <c r="M151" s="38">
        <f t="shared" si="1"/>
        <v>0.008108108108</v>
      </c>
      <c r="N151" s="39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6"/>
      <c r="J152" s="1"/>
      <c r="K152" s="31">
        <v>45575.0</v>
      </c>
      <c r="L152" s="46">
        <v>11.1</v>
      </c>
      <c r="M152" s="38">
        <f t="shared" si="1"/>
        <v>0.004524886878</v>
      </c>
      <c r="N152" s="39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6"/>
      <c r="J153" s="1"/>
      <c r="K153" s="31">
        <v>45545.0</v>
      </c>
      <c r="L153" s="46">
        <v>11.05</v>
      </c>
      <c r="M153" s="38">
        <f t="shared" si="1"/>
        <v>-0.002707581227</v>
      </c>
      <c r="N153" s="39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6"/>
      <c r="J154" s="1"/>
      <c r="K154" s="31">
        <v>45514.0</v>
      </c>
      <c r="L154" s="46">
        <v>11.08</v>
      </c>
      <c r="M154" s="38">
        <f t="shared" si="1"/>
        <v>-0.002700270027</v>
      </c>
      <c r="N154" s="39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6"/>
      <c r="J155" s="1"/>
      <c r="K155" s="31">
        <v>45483.0</v>
      </c>
      <c r="L155" s="46">
        <v>11.11</v>
      </c>
      <c r="M155" s="38">
        <f t="shared" si="1"/>
        <v>-0.008035714286</v>
      </c>
      <c r="N155" s="39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6"/>
      <c r="J156" s="1"/>
      <c r="K156" s="31">
        <v>45392.0</v>
      </c>
      <c r="L156" s="46">
        <v>11.2</v>
      </c>
      <c r="M156" s="38">
        <f t="shared" si="1"/>
        <v>0.004484304933</v>
      </c>
      <c r="N156" s="39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6"/>
      <c r="J157" s="1"/>
      <c r="K157" s="31">
        <v>45361.0</v>
      </c>
      <c r="L157" s="46">
        <v>11.15</v>
      </c>
      <c r="M157" s="38">
        <f t="shared" si="1"/>
        <v>-0.007123775601</v>
      </c>
      <c r="N157" s="39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6"/>
      <c r="J158" s="1"/>
      <c r="K158" s="31">
        <v>45332.0</v>
      </c>
      <c r="L158" s="46">
        <v>11.23</v>
      </c>
      <c r="M158" s="38">
        <f t="shared" si="1"/>
        <v>-0.007950530035</v>
      </c>
      <c r="N158" s="39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6"/>
      <c r="J159" s="1"/>
      <c r="K159" s="31">
        <v>45301.0</v>
      </c>
      <c r="L159" s="46">
        <v>11.32</v>
      </c>
      <c r="M159" s="38">
        <f t="shared" si="1"/>
        <v>-0.0008826125331</v>
      </c>
      <c r="N159" s="39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6"/>
      <c r="J160" s="1"/>
      <c r="K160" s="31" t="s">
        <v>277</v>
      </c>
      <c r="L160" s="46">
        <v>11.33</v>
      </c>
      <c r="M160" s="38">
        <f t="shared" si="1"/>
        <v>-0.001762114537</v>
      </c>
      <c r="N160" s="39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6"/>
      <c r="J161" s="1"/>
      <c r="K161" s="31" t="s">
        <v>282</v>
      </c>
      <c r="L161" s="46">
        <v>11.35</v>
      </c>
      <c r="M161" s="38">
        <f t="shared" si="1"/>
        <v>0</v>
      </c>
      <c r="N161" s="39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6"/>
      <c r="J162" s="1"/>
      <c r="K162" s="31" t="s">
        <v>285</v>
      </c>
      <c r="L162" s="46">
        <v>11.35</v>
      </c>
      <c r="M162" s="38">
        <f t="shared" si="1"/>
        <v>0.02436823105</v>
      </c>
      <c r="N162" s="39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6"/>
      <c r="J163" s="1"/>
      <c r="K163" s="31" t="s">
        <v>289</v>
      </c>
      <c r="L163" s="46">
        <v>11.08</v>
      </c>
      <c r="M163" s="38">
        <f t="shared" si="1"/>
        <v>-0.009830205541</v>
      </c>
      <c r="N163" s="39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6"/>
      <c r="J164" s="1"/>
      <c r="K164" s="31" t="s">
        <v>293</v>
      </c>
      <c r="L164" s="46">
        <v>11.19</v>
      </c>
      <c r="M164" s="38">
        <f t="shared" si="1"/>
        <v>0.009927797834</v>
      </c>
      <c r="N164" s="39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6"/>
      <c r="J165" s="1"/>
      <c r="K165" s="31" t="s">
        <v>294</v>
      </c>
      <c r="L165" s="46">
        <v>11.08</v>
      </c>
      <c r="M165" s="38">
        <f t="shared" si="1"/>
        <v>0.01651376147</v>
      </c>
      <c r="N165" s="39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6"/>
      <c r="J166" s="1"/>
      <c r="K166" s="31" t="s">
        <v>296</v>
      </c>
      <c r="L166" s="46">
        <v>10.9</v>
      </c>
      <c r="M166" s="38">
        <f t="shared" si="1"/>
        <v>-0.01890189019</v>
      </c>
      <c r="N166" s="39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6"/>
      <c r="J167" s="1"/>
      <c r="K167" s="31" t="s">
        <v>299</v>
      </c>
      <c r="L167" s="46">
        <v>11.11</v>
      </c>
      <c r="M167" s="38">
        <f t="shared" si="1"/>
        <v>0.009082652134</v>
      </c>
      <c r="N167" s="39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6"/>
      <c r="J168" s="1"/>
      <c r="K168" s="31" t="s">
        <v>302</v>
      </c>
      <c r="L168" s="46">
        <v>11.01</v>
      </c>
      <c r="M168" s="38">
        <f t="shared" si="1"/>
        <v>0.001819836215</v>
      </c>
      <c r="N168" s="39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6"/>
      <c r="J169" s="1"/>
      <c r="K169" s="31" t="s">
        <v>304</v>
      </c>
      <c r="L169" s="46">
        <v>10.99</v>
      </c>
      <c r="M169" s="38">
        <f t="shared" si="1"/>
        <v>-0.01169064748</v>
      </c>
      <c r="N169" s="39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6"/>
      <c r="J170" s="1"/>
      <c r="K170" s="31" t="s">
        <v>308</v>
      </c>
      <c r="L170" s="46">
        <v>11.12</v>
      </c>
      <c r="M170" s="38">
        <f t="shared" si="1"/>
        <v>0.0118289354</v>
      </c>
      <c r="N170" s="39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6"/>
      <c r="J171" s="1"/>
      <c r="K171" s="31" t="s">
        <v>310</v>
      </c>
      <c r="L171" s="46">
        <v>10.99</v>
      </c>
      <c r="M171" s="38">
        <f t="shared" si="1"/>
        <v>0.01011029412</v>
      </c>
      <c r="N171" s="39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6"/>
      <c r="J172" s="1"/>
      <c r="K172" s="31">
        <v>45635.0</v>
      </c>
      <c r="L172" s="46">
        <v>10.88</v>
      </c>
      <c r="M172" s="38">
        <f t="shared" si="1"/>
        <v>-0.001834862385</v>
      </c>
      <c r="N172" s="39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6"/>
      <c r="J173" s="1"/>
      <c r="K173" s="31">
        <v>45605.0</v>
      </c>
      <c r="L173" s="46">
        <v>10.9</v>
      </c>
      <c r="M173" s="38">
        <f t="shared" si="1"/>
        <v>-0.01178603808</v>
      </c>
      <c r="N173" s="39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6"/>
      <c r="J174" s="1"/>
      <c r="K174" s="31">
        <v>45574.0</v>
      </c>
      <c r="L174" s="46">
        <v>11.03</v>
      </c>
      <c r="M174" s="38">
        <f t="shared" si="1"/>
        <v>-0.006306306306</v>
      </c>
      <c r="N174" s="39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6"/>
      <c r="J175" s="1"/>
      <c r="K175" s="31">
        <v>45544.0</v>
      </c>
      <c r="L175" s="46">
        <v>11.1</v>
      </c>
      <c r="M175" s="38">
        <f t="shared" si="1"/>
        <v>0.001805054152</v>
      </c>
      <c r="N175" s="39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6"/>
      <c r="J176" s="1"/>
      <c r="K176" s="31">
        <v>45452.0</v>
      </c>
      <c r="L176" s="46">
        <v>11.08</v>
      </c>
      <c r="M176" s="38">
        <f t="shared" si="1"/>
        <v>-0.01247771836</v>
      </c>
      <c r="N176" s="39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6"/>
      <c r="J177" s="1"/>
      <c r="K177" s="31">
        <v>45421.0</v>
      </c>
      <c r="L177" s="46">
        <v>11.22</v>
      </c>
      <c r="M177" s="38">
        <f t="shared" si="1"/>
        <v>-0.009708737864</v>
      </c>
      <c r="N177" s="39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6"/>
      <c r="J178" s="1"/>
      <c r="K178" s="31">
        <v>45391.0</v>
      </c>
      <c r="L178" s="46">
        <v>11.33</v>
      </c>
      <c r="M178" s="38">
        <f t="shared" si="1"/>
        <v>0.001768346596</v>
      </c>
      <c r="N178" s="39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6"/>
      <c r="J179" s="1"/>
      <c r="K179" s="31">
        <v>45360.0</v>
      </c>
      <c r="L179" s="46">
        <v>11.31</v>
      </c>
      <c r="M179" s="38">
        <f t="shared" si="1"/>
        <v>-0.01136363636</v>
      </c>
      <c r="N179" s="39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6"/>
      <c r="J180" s="1"/>
      <c r="K180" s="31" t="s">
        <v>327</v>
      </c>
      <c r="L180" s="46">
        <v>11.44</v>
      </c>
      <c r="M180" s="38">
        <f t="shared" si="1"/>
        <v>0.01149425287</v>
      </c>
      <c r="N180" s="39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6"/>
      <c r="J181" s="1"/>
      <c r="K181" s="31" t="s">
        <v>329</v>
      </c>
      <c r="L181" s="46">
        <v>11.31</v>
      </c>
      <c r="M181" s="38">
        <f t="shared" si="1"/>
        <v>0.006227758007</v>
      </c>
      <c r="N181" s="39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6"/>
      <c r="J182" s="1"/>
      <c r="K182" s="31" t="s">
        <v>331</v>
      </c>
      <c r="L182" s="46">
        <v>11.24</v>
      </c>
      <c r="M182" s="38">
        <f t="shared" si="1"/>
        <v>0.007168458781</v>
      </c>
      <c r="N182" s="39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6"/>
      <c r="J183" s="1"/>
      <c r="K183" s="31" t="s">
        <v>334</v>
      </c>
      <c r="L183" s="46">
        <v>11.16</v>
      </c>
      <c r="M183" s="38">
        <f t="shared" si="1"/>
        <v>-0.0008952551477</v>
      </c>
      <c r="N183" s="39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6"/>
      <c r="J184" s="1"/>
      <c r="K184" s="31" t="s">
        <v>336</v>
      </c>
      <c r="L184" s="46">
        <v>11.17</v>
      </c>
      <c r="M184" s="38">
        <f t="shared" si="1"/>
        <v>0.006306306306</v>
      </c>
      <c r="N184" s="39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6"/>
      <c r="J185" s="1"/>
      <c r="K185" s="31" t="s">
        <v>338</v>
      </c>
      <c r="L185" s="46">
        <v>11.1</v>
      </c>
      <c r="M185" s="38">
        <f t="shared" si="1"/>
        <v>0.01555352242</v>
      </c>
      <c r="N185" s="39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6"/>
      <c r="J186" s="1"/>
      <c r="K186" s="31" t="s">
        <v>341</v>
      </c>
      <c r="L186" s="46">
        <v>10.93</v>
      </c>
      <c r="M186" s="38">
        <f t="shared" si="1"/>
        <v>0</v>
      </c>
      <c r="N186" s="39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6"/>
      <c r="J187" s="1"/>
      <c r="K187" s="31" t="s">
        <v>343</v>
      </c>
      <c r="L187" s="46">
        <v>10.93</v>
      </c>
      <c r="M187" s="38">
        <f t="shared" si="1"/>
        <v>0.01297497683</v>
      </c>
      <c r="N187" s="39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6"/>
      <c r="J188" s="1"/>
      <c r="K188" s="31" t="s">
        <v>345</v>
      </c>
      <c r="L188" s="46">
        <v>10.79</v>
      </c>
      <c r="M188" s="38">
        <f t="shared" si="1"/>
        <v>0.01600753296</v>
      </c>
      <c r="N188" s="39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6"/>
      <c r="J189" s="1"/>
      <c r="K189" s="31" t="s">
        <v>347</v>
      </c>
      <c r="L189" s="46">
        <v>10.62</v>
      </c>
      <c r="M189" s="38">
        <f t="shared" si="1"/>
        <v>0.01626794258</v>
      </c>
      <c r="N189" s="39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6"/>
      <c r="J190" s="1"/>
      <c r="K190" s="31" t="s">
        <v>349</v>
      </c>
      <c r="L190" s="46">
        <v>10.45</v>
      </c>
      <c r="M190" s="38">
        <f t="shared" si="1"/>
        <v>-0.03686635945</v>
      </c>
      <c r="N190" s="39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6"/>
      <c r="J191" s="1"/>
      <c r="K191" s="31" t="s">
        <v>352</v>
      </c>
      <c r="L191" s="46">
        <v>10.85</v>
      </c>
      <c r="M191" s="38">
        <f t="shared" si="1"/>
        <v>0.01782363977</v>
      </c>
      <c r="N191" s="39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6"/>
      <c r="J192" s="1"/>
      <c r="K192" s="31" t="s">
        <v>357</v>
      </c>
      <c r="L192" s="46">
        <v>10.66</v>
      </c>
      <c r="M192" s="38">
        <f t="shared" si="1"/>
        <v>-0.003738317757</v>
      </c>
      <c r="N192" s="39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6"/>
      <c r="J193" s="1"/>
      <c r="K193" s="31" t="s">
        <v>363</v>
      </c>
      <c r="L193" s="46">
        <v>10.7</v>
      </c>
      <c r="M193" s="38">
        <f t="shared" si="1"/>
        <v>0.01904761905</v>
      </c>
      <c r="N193" s="39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6"/>
      <c r="J194" s="1"/>
      <c r="K194" s="31">
        <v>45634.0</v>
      </c>
      <c r="L194" s="46">
        <v>10.5</v>
      </c>
      <c r="M194" s="38">
        <f t="shared" si="1"/>
        <v>-0.005681818182</v>
      </c>
      <c r="N194" s="39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6"/>
      <c r="J195" s="1"/>
      <c r="K195" s="31">
        <v>45543.0</v>
      </c>
      <c r="L195" s="46">
        <v>10.56</v>
      </c>
      <c r="M195" s="38">
        <f t="shared" si="1"/>
        <v>-0.004712535344</v>
      </c>
      <c r="N195" s="39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6"/>
      <c r="J196" s="1"/>
      <c r="K196" s="31">
        <v>45512.0</v>
      </c>
      <c r="L196" s="46">
        <v>10.61</v>
      </c>
      <c r="M196" s="38">
        <f t="shared" si="1"/>
        <v>0.02117420597</v>
      </c>
      <c r="N196" s="39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6"/>
      <c r="J197" s="1"/>
      <c r="K197" s="31">
        <v>45481.0</v>
      </c>
      <c r="L197" s="46">
        <v>10.39</v>
      </c>
      <c r="M197" s="38">
        <f t="shared" si="1"/>
        <v>-0.009532888465</v>
      </c>
      <c r="N197" s="39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6"/>
      <c r="J198" s="1"/>
      <c r="K198" s="31">
        <v>45451.0</v>
      </c>
      <c r="L198" s="46">
        <v>10.49</v>
      </c>
      <c r="M198" s="38">
        <f t="shared" si="1"/>
        <v>0.01943634597</v>
      </c>
      <c r="N198" s="39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6"/>
      <c r="J199" s="1"/>
      <c r="K199" s="31">
        <v>45420.0</v>
      </c>
      <c r="L199" s="46">
        <v>10.29</v>
      </c>
      <c r="M199" s="38">
        <f t="shared" si="1"/>
        <v>-0.02186311787</v>
      </c>
      <c r="N199" s="39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6"/>
      <c r="J200" s="1"/>
      <c r="K200" s="31">
        <v>45330.0</v>
      </c>
      <c r="L200" s="46">
        <v>10.52</v>
      </c>
      <c r="M200" s="38">
        <f t="shared" si="1"/>
        <v>0.001904761905</v>
      </c>
      <c r="N200" s="39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6"/>
      <c r="J201" s="1"/>
      <c r="K201" s="31">
        <v>45299.0</v>
      </c>
      <c r="L201" s="46">
        <v>10.5</v>
      </c>
      <c r="M201" s="38">
        <f t="shared" si="1"/>
        <v>-0.002849002849</v>
      </c>
      <c r="N201" s="39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6"/>
      <c r="J202" s="1"/>
      <c r="K202" s="31" t="s">
        <v>381</v>
      </c>
      <c r="L202" s="46">
        <v>10.53</v>
      </c>
      <c r="M202" s="38">
        <f t="shared" si="1"/>
        <v>0.004770992366</v>
      </c>
      <c r="N202" s="39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6"/>
      <c r="J203" s="1"/>
      <c r="K203" s="31" t="s">
        <v>383</v>
      </c>
      <c r="L203" s="46">
        <v>10.48</v>
      </c>
      <c r="M203" s="38">
        <f t="shared" si="1"/>
        <v>0.00575815739</v>
      </c>
      <c r="N203" s="39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6"/>
      <c r="J204" s="1"/>
      <c r="K204" s="31" t="s">
        <v>385</v>
      </c>
      <c r="L204" s="46">
        <v>10.42</v>
      </c>
      <c r="M204" s="38">
        <f t="shared" si="1"/>
        <v>0.003853564547</v>
      </c>
      <c r="N204" s="39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6"/>
      <c r="J205" s="1"/>
      <c r="K205" s="31" t="s">
        <v>389</v>
      </c>
      <c r="L205" s="46">
        <v>10.38</v>
      </c>
      <c r="M205" s="38">
        <f t="shared" si="1"/>
        <v>0.02266009852</v>
      </c>
      <c r="N205" s="39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6"/>
      <c r="J206" s="1"/>
      <c r="K206" s="31" t="s">
        <v>391</v>
      </c>
      <c r="L206" s="46">
        <v>10.15</v>
      </c>
      <c r="M206" s="38">
        <f t="shared" si="1"/>
        <v>0.006944444444</v>
      </c>
      <c r="N206" s="39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6"/>
      <c r="J207" s="1"/>
      <c r="K207" s="31" t="s">
        <v>395</v>
      </c>
      <c r="L207" s="46">
        <v>10.08</v>
      </c>
      <c r="M207" s="38">
        <f t="shared" si="1"/>
        <v>0.0009930486594</v>
      </c>
      <c r="N207" s="39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6"/>
      <c r="J208" s="1"/>
      <c r="K208" s="31" t="s">
        <v>396</v>
      </c>
      <c r="L208" s="46">
        <v>10.07</v>
      </c>
      <c r="M208" s="38">
        <f t="shared" si="1"/>
        <v>-0.007881773399</v>
      </c>
      <c r="N208" s="39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6"/>
      <c r="J209" s="1"/>
      <c r="K209" s="31" t="s">
        <v>397</v>
      </c>
      <c r="L209" s="46">
        <v>10.15</v>
      </c>
      <c r="M209" s="38">
        <f t="shared" si="1"/>
        <v>0.003956478734</v>
      </c>
      <c r="N209" s="39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6"/>
      <c r="J210" s="1"/>
      <c r="K210" s="31" t="s">
        <v>400</v>
      </c>
      <c r="L210" s="46">
        <v>10.11</v>
      </c>
      <c r="M210" s="38">
        <f t="shared" si="1"/>
        <v>-0.02034883721</v>
      </c>
      <c r="N210" s="39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6"/>
      <c r="J211" s="1"/>
      <c r="K211" s="31" t="s">
        <v>401</v>
      </c>
      <c r="L211" s="46">
        <v>10.32</v>
      </c>
      <c r="M211" s="38">
        <f t="shared" si="1"/>
        <v>-0.000968054211</v>
      </c>
      <c r="N211" s="39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6"/>
      <c r="J212" s="1"/>
      <c r="K212" s="31" t="s">
        <v>405</v>
      </c>
      <c r="L212" s="46">
        <v>10.33</v>
      </c>
      <c r="M212" s="38">
        <f t="shared" si="1"/>
        <v>0.02581926514</v>
      </c>
      <c r="N212" s="39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6"/>
      <c r="J213" s="1"/>
      <c r="K213" s="31" t="s">
        <v>406</v>
      </c>
      <c r="L213" s="46">
        <v>10.07</v>
      </c>
      <c r="M213" s="38">
        <f t="shared" si="1"/>
        <v>0.02337398374</v>
      </c>
      <c r="N213" s="39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6"/>
      <c r="J214" s="1"/>
      <c r="K214" s="31" t="s">
        <v>410</v>
      </c>
      <c r="L214" s="46">
        <v>9.84</v>
      </c>
      <c r="M214" s="38">
        <f t="shared" si="1"/>
        <v>-0.007063572149</v>
      </c>
      <c r="N214" s="39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6"/>
      <c r="J215" s="1"/>
      <c r="K215" s="31">
        <v>45633.0</v>
      </c>
      <c r="L215" s="46">
        <v>9.91</v>
      </c>
      <c r="M215" s="38">
        <f t="shared" si="1"/>
        <v>0.01019367992</v>
      </c>
      <c r="N215" s="39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6"/>
      <c r="J216" s="1"/>
      <c r="K216" s="31">
        <v>45603.0</v>
      </c>
      <c r="L216" s="46">
        <v>9.81</v>
      </c>
      <c r="M216" s="38">
        <f t="shared" si="1"/>
        <v>0.006153846154</v>
      </c>
      <c r="N216" s="39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6"/>
      <c r="J217" s="1"/>
      <c r="K217" s="31">
        <v>45572.0</v>
      </c>
      <c r="L217" s="46">
        <v>9.75</v>
      </c>
      <c r="M217" s="38">
        <f t="shared" si="1"/>
        <v>0.01987447699</v>
      </c>
      <c r="N217" s="39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6"/>
      <c r="J218" s="1"/>
      <c r="K218" s="31">
        <v>45542.0</v>
      </c>
      <c r="L218" s="46">
        <v>9.56</v>
      </c>
      <c r="M218" s="38">
        <f t="shared" si="1"/>
        <v>-0.007268951194</v>
      </c>
      <c r="N218" s="39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6"/>
      <c r="J219" s="1"/>
      <c r="K219" s="31">
        <v>45511.0</v>
      </c>
      <c r="L219" s="46">
        <v>9.63</v>
      </c>
      <c r="M219" s="38">
        <f t="shared" si="1"/>
        <v>0.01368421053</v>
      </c>
      <c r="N219" s="39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6"/>
      <c r="J220" s="1"/>
      <c r="K220" s="31">
        <v>45419.0</v>
      </c>
      <c r="L220" s="46">
        <v>9.5</v>
      </c>
      <c r="M220" s="38">
        <f t="shared" si="1"/>
        <v>-0.01247401247</v>
      </c>
      <c r="N220" s="39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6"/>
      <c r="J221" s="1"/>
      <c r="K221" s="31">
        <v>45358.0</v>
      </c>
      <c r="L221" s="46">
        <v>9.62</v>
      </c>
      <c r="M221" s="38">
        <f t="shared" si="1"/>
        <v>0.004175365344</v>
      </c>
      <c r="N221" s="39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6"/>
      <c r="J222" s="1"/>
      <c r="K222" s="31">
        <v>45329.0</v>
      </c>
      <c r="L222" s="46">
        <v>9.58</v>
      </c>
      <c r="M222" s="38">
        <f t="shared" si="1"/>
        <v>-0.002083333333</v>
      </c>
      <c r="N222" s="39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6"/>
      <c r="J223" s="1"/>
      <c r="K223" s="31">
        <v>45298.0</v>
      </c>
      <c r="L223" s="46">
        <v>9.6</v>
      </c>
      <c r="M223" s="38">
        <f t="shared" si="1"/>
        <v>-0.01840490798</v>
      </c>
      <c r="N223" s="39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6"/>
      <c r="J224" s="1"/>
      <c r="K224" s="31" t="s">
        <v>424</v>
      </c>
      <c r="L224" s="46">
        <v>9.78</v>
      </c>
      <c r="M224" s="38">
        <f t="shared" si="1"/>
        <v>-0.003058103976</v>
      </c>
      <c r="N224" s="39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6"/>
      <c r="J225" s="1"/>
      <c r="K225" s="31" t="s">
        <v>427</v>
      </c>
      <c r="L225" s="46">
        <v>9.81</v>
      </c>
      <c r="M225" s="38">
        <f t="shared" si="1"/>
        <v>-0.003048780488</v>
      </c>
      <c r="N225" s="39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6"/>
      <c r="J226" s="1"/>
      <c r="K226" s="31" t="s">
        <v>428</v>
      </c>
      <c r="L226" s="46">
        <v>9.84</v>
      </c>
      <c r="M226" s="38">
        <f t="shared" si="1"/>
        <v>-0.004048582996</v>
      </c>
      <c r="N226" s="39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6"/>
      <c r="J227" s="1"/>
      <c r="K227" s="31" t="s">
        <v>431</v>
      </c>
      <c r="L227" s="46">
        <v>9.88</v>
      </c>
      <c r="M227" s="38">
        <f t="shared" si="1"/>
        <v>-0.01298701299</v>
      </c>
      <c r="N227" s="39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6"/>
      <c r="J228" s="1"/>
      <c r="K228" s="31" t="s">
        <v>432</v>
      </c>
      <c r="L228" s="46">
        <v>10.01</v>
      </c>
      <c r="M228" s="38">
        <f t="shared" si="1"/>
        <v>0.006030150754</v>
      </c>
      <c r="N228" s="39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6"/>
      <c r="J229" s="1"/>
      <c r="K229" s="31" t="s">
        <v>435</v>
      </c>
      <c r="L229" s="46">
        <v>9.95</v>
      </c>
      <c r="M229" s="38">
        <f t="shared" si="1"/>
        <v>0.007085020243</v>
      </c>
      <c r="N229" s="39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6"/>
      <c r="J230" s="1"/>
      <c r="K230" s="31" t="s">
        <v>436</v>
      </c>
      <c r="L230" s="46">
        <v>9.88</v>
      </c>
      <c r="M230" s="38">
        <f t="shared" si="1"/>
        <v>-0.009027081244</v>
      </c>
      <c r="N230" s="39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6"/>
      <c r="J231" s="1"/>
      <c r="K231" s="31" t="s">
        <v>439</v>
      </c>
      <c r="L231" s="46">
        <v>9.97</v>
      </c>
      <c r="M231" s="38">
        <f t="shared" si="1"/>
        <v>0.001004016064</v>
      </c>
      <c r="N231" s="39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6"/>
      <c r="J232" s="1"/>
      <c r="K232" s="31" t="s">
        <v>440</v>
      </c>
      <c r="L232" s="46">
        <v>9.96</v>
      </c>
      <c r="M232" s="38">
        <f t="shared" si="1"/>
        <v>0</v>
      </c>
      <c r="N232" s="39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6"/>
      <c r="J233" s="1"/>
      <c r="K233" s="31" t="s">
        <v>442</v>
      </c>
      <c r="L233" s="46">
        <v>9.96</v>
      </c>
      <c r="M233" s="38">
        <f t="shared" si="1"/>
        <v>-0.00796812749</v>
      </c>
      <c r="N233" s="39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6"/>
      <c r="J234" s="1"/>
      <c r="K234" s="31" t="s">
        <v>443</v>
      </c>
      <c r="L234" s="46">
        <v>10.04</v>
      </c>
      <c r="M234" s="38">
        <f t="shared" si="1"/>
        <v>-0.0009950248756</v>
      </c>
      <c r="N234" s="39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6"/>
      <c r="J235" s="1"/>
      <c r="K235" s="31">
        <v>45632.0</v>
      </c>
      <c r="L235" s="46">
        <v>10.05</v>
      </c>
      <c r="M235" s="38">
        <f t="shared" si="1"/>
        <v>0.007014028056</v>
      </c>
      <c r="N235" s="39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6"/>
      <c r="J236" s="1"/>
      <c r="K236" s="31">
        <v>45602.0</v>
      </c>
      <c r="L236" s="46">
        <v>9.98</v>
      </c>
      <c r="M236" s="38">
        <f t="shared" si="1"/>
        <v>0.007063572149</v>
      </c>
      <c r="N236" s="39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6"/>
      <c r="J237" s="1"/>
      <c r="K237" s="31">
        <v>45571.0</v>
      </c>
      <c r="L237" s="46">
        <v>9.91</v>
      </c>
      <c r="M237" s="38">
        <f t="shared" si="1"/>
        <v>-0.00999000999</v>
      </c>
      <c r="N237" s="39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6"/>
      <c r="J238" s="1"/>
      <c r="K238" s="31">
        <v>45479.0</v>
      </c>
      <c r="L238" s="46">
        <v>10.01</v>
      </c>
      <c r="M238" s="38">
        <f t="shared" si="1"/>
        <v>-0.01476377953</v>
      </c>
      <c r="N238" s="39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6"/>
      <c r="J239" s="1"/>
      <c r="K239" s="31">
        <v>45449.0</v>
      </c>
      <c r="L239" s="46">
        <v>10.16</v>
      </c>
      <c r="M239" s="38">
        <f t="shared" si="1"/>
        <v>-0.004897159647</v>
      </c>
      <c r="N239" s="39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6"/>
      <c r="J240" s="1"/>
      <c r="K240" s="31">
        <v>45418.0</v>
      </c>
      <c r="L240" s="46">
        <v>10.21</v>
      </c>
      <c r="M240" s="38">
        <f t="shared" si="1"/>
        <v>0.002946954813</v>
      </c>
      <c r="N240" s="39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6"/>
      <c r="J241" s="1"/>
      <c r="K241" s="31">
        <v>45388.0</v>
      </c>
      <c r="L241" s="46">
        <v>10.18</v>
      </c>
      <c r="M241" s="38">
        <f t="shared" si="1"/>
        <v>-0.002938295788</v>
      </c>
      <c r="N241" s="39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6"/>
      <c r="J242" s="1"/>
      <c r="K242" s="31">
        <v>45357.0</v>
      </c>
      <c r="L242" s="46">
        <v>10.21</v>
      </c>
      <c r="M242" s="38">
        <f t="shared" si="1"/>
        <v>0.003933136676</v>
      </c>
      <c r="N242" s="39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6"/>
      <c r="J243" s="1"/>
      <c r="K243" s="31" t="s">
        <v>445</v>
      </c>
      <c r="L243" s="46">
        <v>10.17</v>
      </c>
      <c r="M243" s="38">
        <f t="shared" si="1"/>
        <v>0.02935222672</v>
      </c>
      <c r="N243" s="39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6"/>
      <c r="J244" s="1"/>
      <c r="K244" s="31" t="s">
        <v>446</v>
      </c>
      <c r="L244" s="46">
        <v>9.88</v>
      </c>
      <c r="M244" s="38">
        <f t="shared" si="1"/>
        <v>0.01541623844</v>
      </c>
      <c r="N244" s="39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6"/>
      <c r="J245" s="1"/>
      <c r="K245" s="31" t="s">
        <v>447</v>
      </c>
      <c r="L245" s="46">
        <v>9.73</v>
      </c>
      <c r="M245" s="38">
        <f t="shared" si="1"/>
        <v>-0.01017293998</v>
      </c>
      <c r="N245" s="39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6"/>
      <c r="J246" s="1"/>
      <c r="K246" s="31" t="s">
        <v>448</v>
      </c>
      <c r="L246" s="46">
        <v>9.83</v>
      </c>
      <c r="M246" s="38">
        <f t="shared" si="1"/>
        <v>-0.01106639839</v>
      </c>
      <c r="N246" s="39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6"/>
      <c r="J247" s="1"/>
      <c r="K247" s="31" t="s">
        <v>449</v>
      </c>
      <c r="L247" s="46">
        <v>9.94</v>
      </c>
      <c r="M247" s="38">
        <f t="shared" si="1"/>
        <v>0.006072874494</v>
      </c>
      <c r="N247" s="39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6"/>
      <c r="J248" s="1"/>
      <c r="K248" s="31" t="s">
        <v>450</v>
      </c>
      <c r="L248" s="46">
        <v>9.88</v>
      </c>
      <c r="M248" s="38">
        <f t="shared" si="1"/>
        <v>-0.01886792453</v>
      </c>
      <c r="N248" s="39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6"/>
      <c r="J249" s="1"/>
      <c r="K249" s="31" t="s">
        <v>451</v>
      </c>
      <c r="L249" s="46">
        <v>10.07</v>
      </c>
      <c r="M249" s="38">
        <f t="shared" si="1"/>
        <v>0</v>
      </c>
      <c r="N249" s="39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6"/>
      <c r="J250" s="1"/>
      <c r="K250" s="31" t="s">
        <v>452</v>
      </c>
      <c r="L250" s="46">
        <v>10.07</v>
      </c>
      <c r="M250" s="38">
        <f t="shared" si="1"/>
        <v>0</v>
      </c>
      <c r="N250" s="39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6"/>
      <c r="J251" s="1"/>
      <c r="K251" s="167" t="s">
        <v>453</v>
      </c>
      <c r="L251" s="46">
        <v>10.07</v>
      </c>
      <c r="M251" s="38">
        <f t="shared" si="1"/>
        <v>-0.01947419669</v>
      </c>
      <c r="N251" s="39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6"/>
      <c r="J252" s="1"/>
      <c r="K252" s="167" t="s">
        <v>454</v>
      </c>
      <c r="L252" s="46">
        <v>10.27</v>
      </c>
      <c r="M252" s="38">
        <f t="shared" si="1"/>
        <v>-0.008687258687</v>
      </c>
      <c r="N252" s="39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6"/>
      <c r="J253" s="1"/>
      <c r="K253" s="167" t="s">
        <v>455</v>
      </c>
      <c r="L253" s="46">
        <v>10.36</v>
      </c>
      <c r="M253" s="38">
        <f t="shared" si="1"/>
        <v>0.001934235977</v>
      </c>
      <c r="N253" s="39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6"/>
      <c r="J254" s="1"/>
      <c r="K254" s="167" t="s">
        <v>456</v>
      </c>
      <c r="L254" s="46">
        <v>10.34</v>
      </c>
      <c r="M254" s="38"/>
      <c r="N254" s="39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6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6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6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6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6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6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6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6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6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6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6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6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6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6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6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6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6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6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6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6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6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6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6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6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6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6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6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6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6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6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6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6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6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6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6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6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6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6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6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6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6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6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6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6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6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6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6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6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6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6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6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6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6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6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6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6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6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6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6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6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6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6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6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6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6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6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6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6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6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6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6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6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6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6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6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6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6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6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6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6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6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6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6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6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6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6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6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6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6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6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6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6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6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6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6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6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6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6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6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6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6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6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6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6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6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6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6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6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6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6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6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6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6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6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6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6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6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6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6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6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6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6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6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6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6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6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6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6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6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6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6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6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6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6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6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6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6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6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6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6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6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6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6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6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6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6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6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6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6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6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6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6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6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6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6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6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6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6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6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6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6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6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6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6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6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6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6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6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6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6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6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6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6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6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6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6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6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6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6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6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6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6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6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6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6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6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6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6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6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6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6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6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6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6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6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6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6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6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6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6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6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6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6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6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6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6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6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6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6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6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6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6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6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6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6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6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6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6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6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6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6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6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6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6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6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6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6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6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6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6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6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6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6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6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6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6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6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6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6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6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6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6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6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6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6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6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6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6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6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6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6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6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6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6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6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6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6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6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6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6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6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6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6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6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6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6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6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6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6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6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6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6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6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6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6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6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6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6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6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6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6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6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6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6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6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6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6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6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6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6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6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6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6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6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6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6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6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6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6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6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6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6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6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6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6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6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6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6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6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6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6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6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6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6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6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6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6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6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6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6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6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6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6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6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6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6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6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6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6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6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6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6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6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6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6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6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6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6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6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6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6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6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6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6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6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6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6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6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6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6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6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6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6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6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6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6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6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6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6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6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6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6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6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6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6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6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6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6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6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6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6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6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6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6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6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6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6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6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6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6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6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6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6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6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6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6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6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6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6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6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6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6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6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6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6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6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6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6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6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6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6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6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6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6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6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6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6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6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6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6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6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6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6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6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6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6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6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6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6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6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6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6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6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6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6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6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6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6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6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6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6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6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6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6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6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6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6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6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6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6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6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6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6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6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6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6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6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6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6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6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6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6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6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6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6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6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6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6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6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6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6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6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6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6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6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6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6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6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6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6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6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6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6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6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6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6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6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6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6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6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6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6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6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6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6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6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6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6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6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6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6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6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6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6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6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6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6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6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6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6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6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6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6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6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6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6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6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6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6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6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6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6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6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6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6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6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6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6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6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6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6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6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6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6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6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6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6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6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6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6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6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6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6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6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6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6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6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6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6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6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6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6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6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6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6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6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6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6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6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6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6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6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6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6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6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6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6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6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6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6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6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6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6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6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6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6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6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6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6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6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6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6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6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6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6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6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6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6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6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6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6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6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6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6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6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6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6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6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6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6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6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6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6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6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6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6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6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6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6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6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6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6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6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6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6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6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6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6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6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6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6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6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6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6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6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6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6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6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6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6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6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6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6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6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6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6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6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6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6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6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6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6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6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6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6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6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6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6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6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6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6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6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6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6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6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6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6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6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6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6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6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6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6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6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6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6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6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6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6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6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6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6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6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6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6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6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6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6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6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6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6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6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6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6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6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6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6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6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6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6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6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6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6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6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6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6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6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6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6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6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6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6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6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6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6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6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6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6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6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6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6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6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6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6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6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6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6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6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6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6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6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6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6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6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6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6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6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6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6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6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6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6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6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6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6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6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6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6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6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6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6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6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6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6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6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6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6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6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6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6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6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6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6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6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6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6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K1:M1"/>
    <mergeCell ref="B2:C2"/>
    <mergeCell ref="F3:G3"/>
    <mergeCell ref="B21:E2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60.0"/>
    <col customWidth="1" min="3" max="9" width="10.56"/>
    <col customWidth="1" min="10" max="10" width="74.11"/>
    <col customWidth="1" min="11" max="26" width="10.56"/>
  </cols>
  <sheetData>
    <row r="1" ht="15.75" customHeight="1"/>
    <row r="2" ht="15.75" customHeight="1"/>
    <row r="3" ht="15.75" customHeight="1">
      <c r="G3" s="205"/>
      <c r="J3" s="205"/>
      <c r="K3" s="205"/>
      <c r="L3" s="205"/>
    </row>
    <row r="4" ht="15.75" customHeight="1">
      <c r="B4" s="205" t="s">
        <v>500</v>
      </c>
      <c r="C4" s="205" t="s">
        <v>501</v>
      </c>
      <c r="J4" s="205"/>
    </row>
    <row r="5" ht="15.75" customHeight="1">
      <c r="B5" s="205" t="s">
        <v>502</v>
      </c>
      <c r="G5" s="206"/>
      <c r="J5" s="207"/>
      <c r="K5" s="206"/>
      <c r="L5" s="206"/>
    </row>
    <row r="6" ht="15.75" customHeight="1">
      <c r="B6" s="205"/>
      <c r="C6" s="205" t="s">
        <v>503</v>
      </c>
      <c r="D6" s="205" t="s">
        <v>504</v>
      </c>
      <c r="E6" s="205" t="s">
        <v>505</v>
      </c>
      <c r="F6" s="205" t="s">
        <v>506</v>
      </c>
      <c r="G6" s="206"/>
      <c r="J6" s="207"/>
      <c r="K6" s="206"/>
      <c r="L6" s="206"/>
    </row>
    <row r="7" ht="15.75" customHeight="1">
      <c r="B7" s="207"/>
      <c r="C7" s="206"/>
      <c r="D7" s="206"/>
      <c r="E7" s="206"/>
      <c r="F7" s="206"/>
      <c r="G7" s="208"/>
      <c r="J7" s="207"/>
      <c r="K7" s="208"/>
      <c r="L7" s="208"/>
    </row>
    <row r="8" ht="15.75" customHeight="1">
      <c r="B8" s="209" t="s">
        <v>225</v>
      </c>
      <c r="C8" s="210">
        <v>13640.0</v>
      </c>
      <c r="D8" s="210">
        <v>14694.0</v>
      </c>
      <c r="E8" s="210">
        <v>14544.0</v>
      </c>
      <c r="F8" s="210">
        <v>12861.0</v>
      </c>
      <c r="G8" s="206"/>
      <c r="J8" s="207"/>
      <c r="K8" s="208"/>
      <c r="L8" s="208"/>
    </row>
    <row r="9" ht="15.75" customHeight="1">
      <c r="B9" s="209" t="s">
        <v>229</v>
      </c>
      <c r="C9" s="210">
        <v>-10928.0</v>
      </c>
      <c r="D9" s="210">
        <v>-11969.0</v>
      </c>
      <c r="E9" s="210">
        <v>-11724.0</v>
      </c>
      <c r="F9" s="210">
        <v>-10129.0</v>
      </c>
      <c r="G9" s="208"/>
      <c r="J9" s="207"/>
      <c r="K9" s="206"/>
      <c r="L9" s="206"/>
    </row>
    <row r="10" ht="15.75" customHeight="1">
      <c r="B10" s="209" t="s">
        <v>238</v>
      </c>
      <c r="C10" s="210">
        <v>2712.0</v>
      </c>
      <c r="D10" s="210">
        <v>2725.0</v>
      </c>
      <c r="E10" s="210">
        <v>2820.0</v>
      </c>
      <c r="F10" s="210">
        <v>2732.0</v>
      </c>
      <c r="G10" s="206"/>
      <c r="J10" s="207"/>
      <c r="K10" s="208"/>
      <c r="L10" s="208"/>
    </row>
    <row r="11" ht="15.75" customHeight="1">
      <c r="B11" s="209" t="s">
        <v>244</v>
      </c>
      <c r="C11" s="210"/>
      <c r="D11" s="210"/>
      <c r="E11" s="210"/>
      <c r="F11" s="210"/>
      <c r="G11" s="208"/>
      <c r="J11" s="207"/>
      <c r="K11" s="206"/>
      <c r="L11" s="206"/>
    </row>
    <row r="12" ht="15.75" customHeight="1">
      <c r="B12" s="209" t="s">
        <v>253</v>
      </c>
      <c r="C12" s="210">
        <v>-1260.0</v>
      </c>
      <c r="D12" s="210">
        <v>-1246.0</v>
      </c>
      <c r="E12" s="210">
        <v>-1284.0</v>
      </c>
      <c r="F12" s="210">
        <v>-1292.0</v>
      </c>
      <c r="G12" s="206"/>
      <c r="J12" s="207"/>
      <c r="K12" s="208"/>
      <c r="L12" s="208"/>
    </row>
    <row r="13" ht="15.75" customHeight="1">
      <c r="B13" s="209" t="s">
        <v>260</v>
      </c>
      <c r="C13" s="210">
        <v>-106.0</v>
      </c>
      <c r="D13" s="210">
        <v>-101.0</v>
      </c>
      <c r="E13" s="210">
        <v>-96.0</v>
      </c>
      <c r="F13" s="210">
        <v>-100.0</v>
      </c>
      <c r="G13" s="208"/>
      <c r="J13" s="207"/>
      <c r="K13" s="206"/>
      <c r="L13" s="206"/>
    </row>
    <row r="14" ht="15.75" customHeight="1">
      <c r="B14" s="209" t="s">
        <v>266</v>
      </c>
      <c r="C14" s="210">
        <v>-97.0</v>
      </c>
      <c r="D14" s="210">
        <v>104.0</v>
      </c>
      <c r="E14" s="210">
        <v>-234.0</v>
      </c>
      <c r="F14" s="210">
        <v>-94.0</v>
      </c>
      <c r="G14" s="206"/>
      <c r="J14" s="207"/>
      <c r="K14" s="206"/>
      <c r="L14" s="206"/>
    </row>
    <row r="15" ht="15.75" customHeight="1">
      <c r="B15" s="209" t="s">
        <v>273</v>
      </c>
      <c r="C15" s="210">
        <v>-35.0</v>
      </c>
      <c r="D15" s="210">
        <v>26.0</v>
      </c>
      <c r="E15" s="210">
        <v>33.0</v>
      </c>
      <c r="F15" s="210">
        <v>75.0</v>
      </c>
      <c r="G15" s="206"/>
      <c r="J15" s="207"/>
      <c r="K15" s="208"/>
      <c r="L15" s="208"/>
    </row>
    <row r="16" ht="15.75" customHeight="1">
      <c r="B16" s="209" t="s">
        <v>268</v>
      </c>
      <c r="C16" s="211">
        <v>1214.0</v>
      </c>
      <c r="D16" s="211">
        <v>1508.0</v>
      </c>
      <c r="E16" s="211">
        <v>1239.0</v>
      </c>
      <c r="F16" s="211">
        <v>1321.0</v>
      </c>
      <c r="G16" s="208"/>
      <c r="J16" s="207"/>
      <c r="K16" s="208"/>
      <c r="L16" s="208"/>
    </row>
    <row r="17" ht="15.75" customHeight="1">
      <c r="B17" s="209" t="s">
        <v>286</v>
      </c>
      <c r="C17" s="210">
        <v>38.0</v>
      </c>
      <c r="D17" s="210">
        <v>31.0</v>
      </c>
      <c r="E17" s="210">
        <v>24.0</v>
      </c>
      <c r="F17" s="210">
        <v>14.0</v>
      </c>
      <c r="G17" s="208"/>
      <c r="J17" s="207"/>
      <c r="K17" s="206"/>
      <c r="L17" s="206"/>
    </row>
    <row r="18" ht="15.75" customHeight="1">
      <c r="B18" s="209" t="s">
        <v>280</v>
      </c>
      <c r="C18" s="210">
        <v>-348.0</v>
      </c>
      <c r="D18" s="210">
        <v>-290.0</v>
      </c>
      <c r="E18" s="210">
        <v>-159.0</v>
      </c>
      <c r="F18" s="210">
        <v>-153.0</v>
      </c>
      <c r="G18" s="206"/>
      <c r="J18" s="207"/>
      <c r="K18" s="206"/>
      <c r="L18" s="206"/>
    </row>
    <row r="19" ht="15.75" customHeight="1">
      <c r="B19" s="209" t="s">
        <v>301</v>
      </c>
      <c r="C19" s="210">
        <v>3.0</v>
      </c>
      <c r="D19" s="210">
        <v>2.0</v>
      </c>
      <c r="E19" s="210">
        <v>11.0</v>
      </c>
      <c r="F19" s="210">
        <v>11.0</v>
      </c>
      <c r="G19" s="206"/>
      <c r="J19" s="207"/>
      <c r="K19" s="208"/>
      <c r="L19" s="208"/>
    </row>
    <row r="20" ht="15.75" customHeight="1">
      <c r="B20" s="209" t="s">
        <v>507</v>
      </c>
      <c r="C20" s="210">
        <v>907.0</v>
      </c>
      <c r="D20" s="210">
        <v>1251.0</v>
      </c>
      <c r="E20" s="210">
        <v>1115.0</v>
      </c>
      <c r="F20" s="210">
        <v>1193.0</v>
      </c>
      <c r="G20" s="208"/>
      <c r="J20" s="207"/>
      <c r="K20" s="208"/>
      <c r="L20" s="208"/>
    </row>
    <row r="21" ht="15.75" customHeight="1">
      <c r="B21" s="209" t="s">
        <v>295</v>
      </c>
      <c r="C21" s="210">
        <v>-163.0</v>
      </c>
      <c r="D21" s="210">
        <v>-193.0</v>
      </c>
      <c r="E21" s="210">
        <v>-300.0</v>
      </c>
      <c r="F21" s="210">
        <v>-261.0</v>
      </c>
      <c r="G21" s="208"/>
      <c r="J21" s="207"/>
      <c r="K21" s="206"/>
      <c r="L21" s="206"/>
    </row>
    <row r="22" ht="15.75" customHeight="1">
      <c r="B22" s="209" t="s">
        <v>322</v>
      </c>
      <c r="C22" s="210">
        <v>-4.0</v>
      </c>
      <c r="D22" s="210">
        <v>0.0</v>
      </c>
      <c r="E22" s="210">
        <v>0.0</v>
      </c>
      <c r="F22" s="210">
        <v>19.0</v>
      </c>
      <c r="G22" s="206"/>
      <c r="J22" s="207"/>
      <c r="K22" s="206"/>
      <c r="L22" s="206"/>
    </row>
    <row r="23" ht="15.75" customHeight="1">
      <c r="B23" s="209" t="s">
        <v>303</v>
      </c>
      <c r="C23" s="210">
        <v>740.0</v>
      </c>
      <c r="D23" s="210">
        <v>1058.0</v>
      </c>
      <c r="E23" s="210">
        <v>815.0</v>
      </c>
      <c r="F23" s="210">
        <v>951.0</v>
      </c>
      <c r="G23" s="206"/>
      <c r="J23" s="207"/>
      <c r="K23" s="206"/>
      <c r="L23" s="206"/>
    </row>
    <row r="24" ht="15.75" customHeight="1">
      <c r="B24" s="209" t="s">
        <v>335</v>
      </c>
      <c r="C24" s="210">
        <v>-10.0</v>
      </c>
      <c r="D24" s="210">
        <v>-10.0</v>
      </c>
      <c r="E24" s="210">
        <v>-10.0</v>
      </c>
      <c r="F24" s="210">
        <v>-12.0</v>
      </c>
      <c r="G24" s="206"/>
      <c r="J24" s="207"/>
      <c r="K24" s="208"/>
      <c r="L24" s="208"/>
    </row>
    <row r="25" ht="15.75" customHeight="1">
      <c r="B25" s="209" t="s">
        <v>342</v>
      </c>
      <c r="C25" s="206">
        <v>730.0</v>
      </c>
      <c r="D25" s="208">
        <v>1048.0</v>
      </c>
      <c r="E25" s="206">
        <v>805.0</v>
      </c>
      <c r="F25" s="206">
        <v>939.0</v>
      </c>
      <c r="G25" s="208"/>
      <c r="J25" s="207"/>
      <c r="K25" s="206"/>
      <c r="L25" s="206"/>
    </row>
    <row r="26" ht="15.75" customHeight="1">
      <c r="B26" s="209" t="s">
        <v>350</v>
      </c>
      <c r="C26" s="206"/>
      <c r="D26" s="206"/>
      <c r="E26" s="206"/>
      <c r="F26" s="206"/>
      <c r="G26" s="206"/>
      <c r="J26" s="207"/>
      <c r="K26" s="208"/>
      <c r="L26" s="208"/>
    </row>
    <row r="27" ht="15.75" customHeight="1">
      <c r="B27" s="209" t="s">
        <v>358</v>
      </c>
      <c r="C27" s="206" t="s">
        <v>362</v>
      </c>
      <c r="D27" s="206" t="s">
        <v>361</v>
      </c>
      <c r="E27" s="206" t="s">
        <v>360</v>
      </c>
      <c r="F27" s="206" t="s">
        <v>359</v>
      </c>
      <c r="G27" s="208"/>
      <c r="J27" s="207"/>
      <c r="K27" s="208"/>
      <c r="L27" s="208"/>
    </row>
    <row r="28" ht="15.75" customHeight="1">
      <c r="B28" s="209" t="s">
        <v>368</v>
      </c>
      <c r="C28" s="206" t="s">
        <v>362</v>
      </c>
      <c r="D28" s="206" t="s">
        <v>370</v>
      </c>
      <c r="E28" s="206" t="s">
        <v>369</v>
      </c>
      <c r="F28" s="206">
        <v>0.602</v>
      </c>
      <c r="G28" s="208"/>
      <c r="J28" s="207"/>
      <c r="K28" s="206"/>
      <c r="L28" s="206"/>
    </row>
    <row r="29" ht="18.0" customHeight="1">
      <c r="B29" s="207"/>
      <c r="C29" s="206"/>
      <c r="D29" s="206"/>
      <c r="E29" s="206"/>
      <c r="F29" s="206"/>
    </row>
    <row r="30" ht="15.75" customHeight="1">
      <c r="B30" s="205" t="s">
        <v>508</v>
      </c>
      <c r="C30" s="205" t="s">
        <v>503</v>
      </c>
      <c r="D30" s="205" t="s">
        <v>504</v>
      </c>
      <c r="E30" s="205" t="s">
        <v>505</v>
      </c>
      <c r="F30" s="205" t="s">
        <v>506</v>
      </c>
    </row>
    <row r="31" ht="15.75" customHeight="1">
      <c r="B31" s="205" t="s">
        <v>502</v>
      </c>
      <c r="C31" s="205"/>
      <c r="D31" s="205"/>
    </row>
    <row r="32" ht="15.75" customHeight="1">
      <c r="B32" s="212" t="s">
        <v>10</v>
      </c>
      <c r="C32" s="206"/>
      <c r="D32" s="206"/>
    </row>
    <row r="33" ht="15.75" customHeight="1">
      <c r="B33" s="212" t="s">
        <v>18</v>
      </c>
      <c r="C33" s="210">
        <v>588.0</v>
      </c>
      <c r="D33" s="210">
        <v>689.0</v>
      </c>
      <c r="E33" s="213">
        <v>775.0</v>
      </c>
      <c r="F33" s="213">
        <v>850.0</v>
      </c>
    </row>
    <row r="34" ht="15.75" customHeight="1">
      <c r="B34" s="212" t="s">
        <v>26</v>
      </c>
      <c r="C34" s="210">
        <v>1846.0</v>
      </c>
      <c r="D34" s="210">
        <v>1875.0</v>
      </c>
      <c r="E34" s="210">
        <v>1935.0</v>
      </c>
      <c r="F34" s="210">
        <v>1864.0</v>
      </c>
    </row>
    <row r="35" ht="15.75" customHeight="1">
      <c r="B35" s="212" t="s">
        <v>27</v>
      </c>
      <c r="C35" s="210">
        <v>862.0</v>
      </c>
      <c r="D35" s="210">
        <v>992.0</v>
      </c>
      <c r="E35" s="213" t="s">
        <v>28</v>
      </c>
      <c r="F35" s="213" t="s">
        <v>28</v>
      </c>
    </row>
    <row r="36" ht="15.75" customHeight="1">
      <c r="B36" s="212" t="s">
        <v>30</v>
      </c>
      <c r="C36" s="210">
        <v>1169.0</v>
      </c>
      <c r="D36" s="210">
        <v>1221.0</v>
      </c>
      <c r="E36" s="213" t="s">
        <v>28</v>
      </c>
      <c r="F36" s="213" t="s">
        <v>28</v>
      </c>
    </row>
    <row r="37" ht="15.75" customHeight="1">
      <c r="B37" s="207" t="s">
        <v>32</v>
      </c>
      <c r="C37" s="211">
        <f t="shared" ref="C37:D37" si="1">SUM(C35:C36)</f>
        <v>2031</v>
      </c>
      <c r="D37" s="211">
        <f t="shared" si="1"/>
        <v>2213</v>
      </c>
      <c r="E37" s="211">
        <v>2439.0</v>
      </c>
      <c r="F37" s="211">
        <v>1991.0</v>
      </c>
    </row>
    <row r="38" ht="15.75" customHeight="1">
      <c r="B38" s="212" t="s">
        <v>35</v>
      </c>
      <c r="C38" s="210">
        <v>500.0</v>
      </c>
      <c r="D38" s="210">
        <v>531.0</v>
      </c>
      <c r="E38" s="210">
        <v>512.0</v>
      </c>
      <c r="F38" s="210">
        <v>561.0</v>
      </c>
    </row>
    <row r="39" ht="15.75" customHeight="1">
      <c r="B39" s="209" t="s">
        <v>36</v>
      </c>
      <c r="C39" s="211">
        <v>4965.0</v>
      </c>
      <c r="D39" s="211">
        <v>5308.0</v>
      </c>
      <c r="E39" s="211">
        <v>5853.0</v>
      </c>
      <c r="F39" s="211">
        <v>5266.0</v>
      </c>
    </row>
    <row r="40" ht="15.75" customHeight="1">
      <c r="B40" s="212" t="s">
        <v>39</v>
      </c>
      <c r="C40" s="210"/>
      <c r="D40" s="210"/>
      <c r="E40" s="210"/>
      <c r="F40" s="210"/>
    </row>
    <row r="41" ht="15.75" customHeight="1">
      <c r="B41" s="212" t="s">
        <v>41</v>
      </c>
      <c r="C41" s="210">
        <v>3763.0</v>
      </c>
      <c r="D41" s="210">
        <v>3762.0</v>
      </c>
      <c r="E41" s="210">
        <v>3646.0</v>
      </c>
      <c r="F41" s="210">
        <v>3761.0</v>
      </c>
    </row>
    <row r="42" ht="15.75" customHeight="1">
      <c r="B42" s="212" t="s">
        <v>43</v>
      </c>
      <c r="C42" s="210">
        <v>567.0</v>
      </c>
      <c r="D42" s="210">
        <v>533.0</v>
      </c>
      <c r="E42" s="210">
        <v>560.0</v>
      </c>
      <c r="F42" s="210">
        <v>532.0</v>
      </c>
    </row>
    <row r="43" ht="15.75" customHeight="1">
      <c r="B43" s="212" t="s">
        <v>44</v>
      </c>
      <c r="C43" s="210">
        <v>148.0</v>
      </c>
      <c r="D43" s="210">
        <v>134.0</v>
      </c>
      <c r="E43" s="210">
        <v>130.0</v>
      </c>
      <c r="F43" s="210">
        <v>139.0</v>
      </c>
    </row>
    <row r="44" ht="15.75" customHeight="1">
      <c r="B44" s="212" t="s">
        <v>45</v>
      </c>
      <c r="C44" s="210">
        <v>1391.0</v>
      </c>
      <c r="D44" s="210">
        <v>1524.0</v>
      </c>
      <c r="E44" s="210">
        <v>1657.0</v>
      </c>
      <c r="F44" s="210">
        <v>1835.0</v>
      </c>
    </row>
    <row r="45" ht="15.75" customHeight="1">
      <c r="B45" s="212" t="s">
        <v>48</v>
      </c>
      <c r="C45" s="210">
        <v>5345.0</v>
      </c>
      <c r="D45" s="210">
        <v>5366.0</v>
      </c>
      <c r="E45" s="210">
        <v>5285.0</v>
      </c>
      <c r="F45" s="210">
        <v>5419.0</v>
      </c>
    </row>
    <row r="46" ht="15.75" customHeight="1">
      <c r="B46" s="212" t="s">
        <v>49</v>
      </c>
      <c r="C46" s="210">
        <v>34.0</v>
      </c>
      <c r="D46" s="210">
        <v>67.0</v>
      </c>
      <c r="E46" s="210">
        <v>89.0</v>
      </c>
      <c r="F46" s="210">
        <v>52.0</v>
      </c>
    </row>
    <row r="47" ht="15.75" customHeight="1">
      <c r="B47" s="212" t="s">
        <v>50</v>
      </c>
      <c r="C47" s="210">
        <v>311.0</v>
      </c>
      <c r="D47" s="210">
        <v>309.0</v>
      </c>
      <c r="E47" s="210">
        <v>206.0</v>
      </c>
      <c r="F47" s="210">
        <v>184.0</v>
      </c>
      <c r="I47" s="213"/>
    </row>
    <row r="48" ht="15.75" customHeight="1">
      <c r="B48" s="212" t="s">
        <v>53</v>
      </c>
      <c r="C48" s="210">
        <v>11559.0</v>
      </c>
      <c r="D48" s="210">
        <v>11695.0</v>
      </c>
      <c r="E48" s="210">
        <v>11573.0</v>
      </c>
      <c r="F48" s="210">
        <v>11922.0</v>
      </c>
    </row>
    <row r="49" ht="15.75" customHeight="1">
      <c r="B49" s="212" t="s">
        <v>55</v>
      </c>
      <c r="C49" s="210">
        <v>16524.0</v>
      </c>
      <c r="D49" s="210">
        <v>17003.0</v>
      </c>
      <c r="E49" s="210">
        <v>17426.0</v>
      </c>
      <c r="F49" s="210">
        <v>17188.0</v>
      </c>
    </row>
    <row r="50" ht="15.75" customHeight="1">
      <c r="B50" s="212" t="s">
        <v>57</v>
      </c>
      <c r="C50" s="210"/>
      <c r="D50" s="210"/>
      <c r="E50" s="210"/>
      <c r="F50" s="210"/>
    </row>
    <row r="51" ht="15.75" customHeight="1">
      <c r="B51" s="212" t="s">
        <v>60</v>
      </c>
      <c r="C51" s="210">
        <v>12.0</v>
      </c>
      <c r="D51" s="210">
        <v>13.0</v>
      </c>
      <c r="E51" s="210">
        <v>14.0</v>
      </c>
      <c r="F51" s="210">
        <v>5.0</v>
      </c>
    </row>
    <row r="52" ht="15.75" customHeight="1">
      <c r="B52" s="212" t="s">
        <v>62</v>
      </c>
      <c r="C52" s="210">
        <v>84.0</v>
      </c>
      <c r="D52" s="210">
        <v>80.0</v>
      </c>
      <c r="E52" s="210">
        <v>136.0</v>
      </c>
      <c r="F52" s="210">
        <v>98.0</v>
      </c>
    </row>
    <row r="53" ht="15.75" customHeight="1">
      <c r="B53" s="212" t="s">
        <v>65</v>
      </c>
      <c r="C53" s="210">
        <v>2580.0</v>
      </c>
      <c r="D53" s="210">
        <v>2690.0</v>
      </c>
      <c r="E53" s="210">
        <v>3073.0</v>
      </c>
      <c r="F53" s="210">
        <v>2574.0</v>
      </c>
    </row>
    <row r="54" ht="15.75" customHeight="1">
      <c r="B54" s="212" t="s">
        <v>66</v>
      </c>
      <c r="C54" s="210">
        <v>399.0</v>
      </c>
      <c r="D54" s="210">
        <v>396.0</v>
      </c>
      <c r="E54" s="210">
        <v>471.0</v>
      </c>
      <c r="F54" s="210">
        <v>523.0</v>
      </c>
    </row>
    <row r="55" ht="15.75" customHeight="1">
      <c r="B55" s="212" t="s">
        <v>68</v>
      </c>
      <c r="C55" s="210">
        <v>1186.0</v>
      </c>
      <c r="D55" s="210">
        <v>1297.0</v>
      </c>
      <c r="E55" s="210">
        <v>1344.0</v>
      </c>
      <c r="F55" s="210">
        <v>1145.0</v>
      </c>
    </row>
    <row r="56" ht="15.75" customHeight="1">
      <c r="B56" s="209" t="s">
        <v>70</v>
      </c>
      <c r="C56" s="211">
        <v>4261.0</v>
      </c>
      <c r="D56" s="211">
        <v>4476.0</v>
      </c>
      <c r="E56" s="211">
        <v>5103.0</v>
      </c>
      <c r="F56" s="211">
        <v>4345.0</v>
      </c>
    </row>
    <row r="57" ht="15.75" customHeight="1">
      <c r="B57" s="212" t="s">
        <v>71</v>
      </c>
      <c r="C57" s="210"/>
      <c r="D57" s="210"/>
      <c r="E57" s="210"/>
      <c r="F57" s="210"/>
    </row>
    <row r="58" ht="15.75" customHeight="1">
      <c r="B58" s="212" t="s">
        <v>73</v>
      </c>
      <c r="C58" s="210">
        <v>6603.0</v>
      </c>
      <c r="D58" s="210">
        <v>6653.0</v>
      </c>
      <c r="E58" s="210">
        <v>6340.0</v>
      </c>
      <c r="F58" s="210">
        <v>6186.0</v>
      </c>
    </row>
    <row r="59" ht="15.75" customHeight="1">
      <c r="B59" s="212" t="s">
        <v>75</v>
      </c>
      <c r="C59" s="210">
        <v>488.0</v>
      </c>
      <c r="D59" s="210">
        <v>463.0</v>
      </c>
      <c r="E59" s="210">
        <v>493.0</v>
      </c>
      <c r="F59" s="210">
        <v>462.0</v>
      </c>
    </row>
    <row r="60" ht="15.75" customHeight="1">
      <c r="B60" s="212" t="s">
        <v>81</v>
      </c>
      <c r="C60" s="210">
        <v>584.0</v>
      </c>
      <c r="D60" s="210">
        <v>616.0</v>
      </c>
      <c r="E60" s="210">
        <v>677.0</v>
      </c>
      <c r="F60" s="210">
        <v>696.0</v>
      </c>
    </row>
    <row r="61" ht="15.75" customHeight="1">
      <c r="B61" s="212" t="s">
        <v>87</v>
      </c>
      <c r="C61" s="210">
        <v>217.0</v>
      </c>
      <c r="D61" s="210">
        <v>224.0</v>
      </c>
      <c r="E61" s="210">
        <v>201.0</v>
      </c>
      <c r="F61" s="210">
        <v>307.0</v>
      </c>
    </row>
    <row r="62" ht="15.75" customHeight="1">
      <c r="B62" s="212" t="s">
        <v>94</v>
      </c>
      <c r="C62" s="210">
        <v>418.0</v>
      </c>
      <c r="D62" s="210">
        <v>481.0</v>
      </c>
      <c r="E62" s="210">
        <v>471.0</v>
      </c>
      <c r="F62" s="210">
        <v>371.0</v>
      </c>
    </row>
    <row r="63" ht="15.75" customHeight="1">
      <c r="B63" s="212" t="s">
        <v>97</v>
      </c>
      <c r="C63" s="210">
        <v>8310.0</v>
      </c>
      <c r="D63" s="210">
        <v>8437.0</v>
      </c>
      <c r="E63" s="210">
        <v>8182.0</v>
      </c>
      <c r="F63" s="210">
        <v>8022.0</v>
      </c>
    </row>
    <row r="64" ht="15.75" customHeight="1">
      <c r="B64" s="212" t="s">
        <v>101</v>
      </c>
      <c r="C64" s="210">
        <v>12571.0</v>
      </c>
      <c r="D64" s="210">
        <v>12913.0</v>
      </c>
      <c r="E64" s="210">
        <v>13285.0</v>
      </c>
      <c r="F64" s="210">
        <v>12367.0</v>
      </c>
    </row>
    <row r="65" ht="15.75" customHeight="1">
      <c r="B65" s="212" t="s">
        <v>104</v>
      </c>
      <c r="C65" s="210"/>
      <c r="D65" s="210"/>
      <c r="E65" s="210"/>
      <c r="F65" s="210"/>
    </row>
    <row r="66" ht="15.75" customHeight="1">
      <c r="B66" s="212" t="s">
        <v>111</v>
      </c>
      <c r="C66" s="210"/>
      <c r="D66" s="210"/>
      <c r="E66" s="210"/>
      <c r="F66" s="210"/>
    </row>
    <row r="67" ht="15.75" customHeight="1">
      <c r="B67" s="212" t="s">
        <v>118</v>
      </c>
      <c r="C67" s="210">
        <v>14.0</v>
      </c>
      <c r="D67" s="210">
        <v>14.0</v>
      </c>
      <c r="E67" s="210">
        <v>15.0</v>
      </c>
      <c r="F67" s="210">
        <v>15.0</v>
      </c>
    </row>
    <row r="68" ht="15.75" customHeight="1">
      <c r="B68" s="212" t="s">
        <v>124</v>
      </c>
      <c r="C68" s="210">
        <v>4019.0</v>
      </c>
      <c r="D68" s="210">
        <v>4021.0</v>
      </c>
      <c r="E68" s="210">
        <v>4431.0</v>
      </c>
      <c r="F68" s="210">
        <v>5092.0</v>
      </c>
    </row>
    <row r="69" ht="15.75" customHeight="1">
      <c r="B69" s="212" t="s">
        <v>130</v>
      </c>
      <c r="C69" s="210">
        <v>879.0</v>
      </c>
      <c r="D69" s="210">
        <v>865.0</v>
      </c>
      <c r="E69" s="210">
        <v>534.0</v>
      </c>
      <c r="F69" s="210">
        <v>452.0</v>
      </c>
    </row>
    <row r="70" ht="15.75" customHeight="1">
      <c r="B70" s="212" t="s">
        <v>131</v>
      </c>
      <c r="C70" s="210">
        <v>-1020.0</v>
      </c>
      <c r="D70" s="210">
        <v>-862.0</v>
      </c>
      <c r="E70" s="210">
        <v>-880.0</v>
      </c>
      <c r="F70" s="210">
        <v>-766.0</v>
      </c>
    </row>
    <row r="71" ht="15.75" customHeight="1">
      <c r="B71" s="212" t="s">
        <v>134</v>
      </c>
      <c r="C71" s="210">
        <v>-11.0</v>
      </c>
      <c r="D71" s="210">
        <v>-12.0</v>
      </c>
      <c r="E71" s="210">
        <v>-18.0</v>
      </c>
      <c r="F71" s="210">
        <v>-29.0</v>
      </c>
    </row>
    <row r="72" ht="15.75" customHeight="1">
      <c r="B72" s="212" t="s">
        <v>135</v>
      </c>
      <c r="C72" s="210">
        <v>3881.0</v>
      </c>
      <c r="D72" s="210">
        <v>4026.0</v>
      </c>
      <c r="E72" s="210">
        <v>4082.0</v>
      </c>
      <c r="F72" s="210">
        <v>4764.0</v>
      </c>
    </row>
    <row r="73" ht="15.75" customHeight="1">
      <c r="B73" s="212" t="s">
        <v>137</v>
      </c>
      <c r="C73" s="210">
        <v>72.0</v>
      </c>
      <c r="D73" s="210">
        <v>64.0</v>
      </c>
      <c r="E73" s="210">
        <v>59.0</v>
      </c>
      <c r="F73" s="210">
        <v>57.0</v>
      </c>
    </row>
    <row r="74" ht="15.75" customHeight="1">
      <c r="B74" s="212" t="s">
        <v>143</v>
      </c>
      <c r="C74" s="210">
        <v>3953.0</v>
      </c>
      <c r="D74" s="210">
        <v>4090.0</v>
      </c>
      <c r="E74" s="210">
        <v>4141.0</v>
      </c>
      <c r="F74" s="210">
        <v>4821.0</v>
      </c>
    </row>
    <row r="75" ht="15.75" customHeight="1">
      <c r="B75" s="212" t="s">
        <v>148</v>
      </c>
      <c r="C75" s="210">
        <v>16524.0</v>
      </c>
      <c r="D75" s="210">
        <v>17003.0</v>
      </c>
      <c r="E75" s="210">
        <v>17426.0</v>
      </c>
      <c r="F75" s="210">
        <v>17188.0</v>
      </c>
    </row>
    <row r="76" ht="15.75" customHeight="1">
      <c r="B76" s="214"/>
    </row>
    <row r="77" ht="15.75" customHeight="1">
      <c r="B77" s="214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G3:G4"/>
    <mergeCell ref="K3:K4"/>
    <mergeCell ref="L3:L4"/>
    <mergeCell ref="C4:C5"/>
    <mergeCell ref="B76:D76"/>
    <mergeCell ref="B77:D77"/>
  </mergeCells>
  <printOptions/>
  <pageMargins bottom="0.75" footer="0.0" header="0.0" left="0.7" right="0.7" top="0.75"/>
  <pageSetup orientation="landscape"/>
  <drawing r:id="rId1"/>
</worksheet>
</file>